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计划" r:id="rId3" sheetId="1"/>
    <sheet name="测试用例" r:id="rId4" sheetId="2"/>
    <sheet name="环境与账号" r:id="rId5" sheetId="3"/>
    <sheet name="缺陷登记" r:id="rId6" sheetId="4"/>
    <sheet name="测试数据" r:id="rId7" sheetId="5"/>
    <sheet name="测试报告" r:id="rId8" sheetId="6"/>
  </sheets>
  <definedNames>
    <definedName name="_xlnm.Print_Titles" localSheetId="0">测试计划!$1:$3</definedName>
    <definedName name="_xlnm._FilterDatabase" localSheetId="1" hidden="true">测试用例!$A$4:$N$78</definedName>
    <definedName name="_xlnm.Print_Titles" localSheetId="1">测试用例!$1:$3</definedName>
    <definedName name="_xlnm.Print_Titles" localSheetId="2">环境与账号!$1:$3</definedName>
    <definedName name="_xlnm._FilterDatabase" localSheetId="3" hidden="true">缺陷登记!$A$4:$N$40</definedName>
    <definedName name="_xlnm.Print_Titles" localSheetId="3">缺陷登记!$1:$3</definedName>
    <definedName name="_xlnm.Print_Titles" localSheetId="4">测试数据!$1:$3</definedName>
    <definedName name="_xlnm.Print_Titles" localSheetId="5">测试报告!$1:$3</definedName>
  </definedNames>
</workbook>
</file>

<file path=xl/sharedStrings.xml><?xml version="1.0" encoding="utf-8"?>
<sst xmlns="http://schemas.openxmlformats.org/spreadsheetml/2006/main" count="2256" uniqueCount="1409">
  <si>
    <t>智能商城软件测试计划</t>
  </si>
  <si>
    <t>参考模板：软件测试表格模板包.xlsx（14 个页签：说明与目录、字典、测试计划、需求跟踪矩阵、测试用例、执行记录、缺陷登记、环境与账号、测试数据、兼容性矩阵、风险问题、自动化清单、测试报告、发布检查清单）；本交付仅保留六个必需页签</t>
  </si>
  <si>
    <t>1. 基本信息</t>
  </si>
  <si>
    <t>项目名称</t>
  </si>
  <si>
    <t>智能商城（淘宝 + AI 助手微型生态闭环）</t>
  </si>
  <si>
    <t>测试版本</t>
  </si>
  <si>
    <t>当前工作区 / 2026-07-12</t>
  </si>
  <si>
    <t>测试周期</t>
  </si>
  <si>
    <t>2026-07-12</t>
  </si>
  <si>
    <t>测试负责人</t>
  </si>
  <si>
    <t>Codex 执行，项目组复核</t>
  </si>
  <si>
    <t>测试环境</t>
  </si>
  <si>
    <t>Docker Compose 本机集成环境</t>
  </si>
  <si>
    <t>测试结论口径</t>
  </si>
  <si>
    <t>严格按首轮结果；复测单独说明</t>
  </si>
  <si>
    <t>依据</t>
  </si>
  <si>
    <t>AGENTS.md、源码、接口、运行日志和浏览器操作</t>
  </si>
  <si>
    <t>数据策略</t>
  </si>
  <si>
    <t>保留脚本生成的隔离夹具，不重置共享卷</t>
  </si>
  <si>
    <t>2. 测试范围</t>
  </si>
  <si>
    <t>范围</t>
  </si>
  <si>
    <t>模块</t>
  </si>
  <si>
    <t>核心内容</t>
  </si>
  <si>
    <t>主要风险</t>
  </si>
  <si>
    <t>本轮方法</t>
  </si>
  <si>
    <t>范围内</t>
  </si>
  <si>
    <t>用户模块</t>
  </si>
  <si>
    <t>注册、登录、JWT、Refresh、个人资料、ADMIN 权限</t>
  </si>
  <si>
    <t>认证旁路、错误码不一致、密码存储</t>
  </si>
  <si>
    <t>JUnit/RestAssured + REST + 浏览器</t>
  </si>
  <si>
    <t>商品与搜索</t>
  </si>
  <si>
    <t>分类、CRUD、分页、排序、模糊搜索、图片上传</t>
  </si>
  <si>
    <t>边界参数、搜索排序、库存状态</t>
  </si>
  <si>
    <t>集成测试 + REST + 浏览器 + 静态审计</t>
  </si>
  <si>
    <t>购物车与订单</t>
  </si>
  <si>
    <t>加购、结算、下单、状态机、库存回补、事务</t>
  </si>
  <si>
    <t>超卖、脏数据、主链路阻断</t>
  </si>
  <si>
    <t>JUnit + 真实 MySQL 并发 + 浏览器</t>
  </si>
  <si>
    <t>AI 助手</t>
  </si>
  <si>
    <t>工具调用、订单查询、短期/长期记忆、拒答</t>
  </si>
  <si>
    <t>LLM 不确定性、跨会话污染、身份边界</t>
  </si>
  <si>
    <t>真实模型烟测 + REST + 浏览器 + 代码审计</t>
  </si>
  <si>
    <t>部署与数据库</t>
  </si>
  <si>
    <t>Compose、健康检查、日志、Schema/Seed、ER 文档</t>
  </si>
  <si>
    <t>全新环境复现、端口与文档口径</t>
  </si>
  <si>
    <t>Compose/日志/SQL/文档检查</t>
  </si>
  <si>
    <t>范围外</t>
  </si>
  <si>
    <t>明确排除项</t>
  </si>
  <si>
    <t>真实支付、OAuth、复杂 RBAC、多 SKU、MQ、网关、移动端</t>
  </si>
  <si>
    <t>避免超出教学大纲</t>
  </si>
  <si>
    <t>不执行，仅确认未误纳入验收</t>
  </si>
  <si>
    <t>3. 测试策略与准入/准出</t>
  </si>
  <si>
    <t>测试类型</t>
  </si>
  <si>
    <t>目标</t>
  </si>
  <si>
    <t>执行方式</t>
  </si>
  <si>
    <t>工具/证据</t>
  </si>
  <si>
    <t>通过标准</t>
  </si>
  <si>
    <t>单元/集成</t>
  </si>
  <si>
    <t>用户、购物车、订单、优惠券、售后</t>
  </si>
  <si>
    <t>执行后端 Maven 测试</t>
  </si>
  <si>
    <t>JUnit5、Mockito、H2、RestAssured</t>
  </si>
  <si>
    <t>全部测试 0 failures / 0 errors</t>
  </si>
  <si>
    <t>接口测试</t>
  </si>
  <si>
    <t>鉴权、错误码、分页、状态机</t>
  </si>
  <si>
    <t>调用本地 8081/8000 接口</t>
  </si>
  <si>
    <t>PowerShell/curl、应用日志</t>
  </si>
  <si>
    <t>状态码、响应体和数据副作用符合规格</t>
  </si>
  <si>
    <t>并发测试</t>
  </si>
  <si>
    <t>100 请求竞争 80 库存</t>
  </si>
  <si>
    <t>创建隔离用户和商品后并发直购</t>
  </si>
  <si>
    <t>scripts/concurrent_order_test.py</t>
  </si>
  <si>
    <t>成功 80、库存不足 20、stock=0、无异常</t>
  </si>
  <si>
    <t>AI 烟测</t>
  </si>
  <si>
    <t>工具、订单、记忆、确认加购、拒答</t>
  </si>
  <si>
    <t>调用真实模型和真实后端</t>
  </si>
  <si>
    <t>scripts/agent_smoke.py</t>
  </si>
  <si>
    <t>所有断言通过；首轮异常单独登记</t>
  </si>
  <si>
    <t>浏览器测试</t>
  </si>
  <si>
    <t>登录、搜索、购物车、结算、订单、AI</t>
  </si>
  <si>
    <t>Codex 应用内浏览器点击验证</t>
  </si>
  <si>
    <t>DOM 快照、控制台日志</t>
  </si>
  <si>
    <t>页面可见且无阻断脚本错误</t>
  </si>
  <si>
    <t>静态合规</t>
  </si>
  <si>
    <t>事务注解、权限边界、ER、Seed、环境变量</t>
  </si>
  <si>
    <t>源码与文档核对</t>
  </si>
  <si>
    <t>rg、代码审计</t>
  </si>
  <si>
    <t>满足 AGENTS.md 明确验收条款</t>
  </si>
  <si>
    <t>部署验证</t>
  </si>
  <si>
    <t>一键启动、健康检查、日志</t>
  </si>
  <si>
    <t>检查 Compose 和容器状态</t>
  </si>
  <si>
    <t>Docker 29.6.1 / Compose 5.2.0</t>
  </si>
  <si>
    <t>四服务 healthy，日志无 ERROR</t>
  </si>
  <si>
    <t>4. 测试安排</t>
  </si>
  <si>
    <t>阶段</t>
  </si>
  <si>
    <t>日期</t>
  </si>
  <si>
    <t>工作内容</t>
  </si>
  <si>
    <t>产出</t>
  </si>
  <si>
    <t>责任</t>
  </si>
  <si>
    <t>准备</t>
  </si>
  <si>
    <t>盘点需求、环境、账号、Seed 和测试入口</t>
  </si>
  <si>
    <t>范围与环境清单</t>
  </si>
  <si>
    <t>Codex</t>
  </si>
  <si>
    <t>自动化</t>
  </si>
  <si>
    <t>后端 30 测试、前端构建、Agent 烟测</t>
  </si>
  <si>
    <t>执行记录和日志</t>
  </si>
  <si>
    <t>运行态</t>
  </si>
  <si>
    <t>REST 主链路、100/80 并发、容器健康</t>
  </si>
  <si>
    <t>接口与并发证据</t>
  </si>
  <si>
    <t>浏览器</t>
  </si>
  <si>
    <t>登录、搜索、购物车、结算、订单和 AI</t>
  </si>
  <si>
    <t>可见流程证据</t>
  </si>
  <si>
    <t>报告</t>
  </si>
  <si>
    <t>汇总用例、缺陷、风险和准出结论</t>
  </si>
  <si>
    <t>本工作簿</t>
  </si>
  <si>
    <t>Codex / 项目组复核</t>
  </si>
  <si>
    <t>5. 准入、准出与风险</t>
  </si>
  <si>
    <t>类别</t>
  </si>
  <si>
    <t>条件</t>
  </si>
  <si>
    <t>本轮状态</t>
  </si>
  <si>
    <t>说明</t>
  </si>
  <si>
    <t>准入</t>
  </si>
  <si>
    <t>.env 已配置必要密钥且四服务可启动</t>
  </si>
  <si>
    <t>通过</t>
  </si>
  <si>
    <t>未记录或泄露任何密钥值</t>
  </si>
  <si>
    <t>基础 Seed 与测试账号可用</t>
  </si>
  <si>
    <t>admin/alice/bob 均可登录</t>
  </si>
  <si>
    <t>准出</t>
  </si>
  <si>
    <t>后端自动化全部通过</t>
  </si>
  <si>
    <t>30/30，0 failures，0 errors</t>
  </si>
  <si>
    <t>100 并发不超卖</t>
  </si>
  <si>
    <t>成功 80、库存不足 20、最终库存 0</t>
  </si>
  <si>
    <t>五大模块主链路可浏览器演示</t>
  </si>
  <si>
    <t>失败</t>
  </si>
  <si>
    <t>结算页 reactive 未导入导致空白</t>
  </si>
  <si>
    <t>阻断和高严重度缺陷清零</t>
  </si>
  <si>
    <t>存在结算阻断、跨会话加购和聊天隔离问题</t>
  </si>
  <si>
    <t>风险</t>
  </si>
  <si>
    <t>真实 LLM 工具选择具有非确定性</t>
  </si>
  <si>
    <t>存在</t>
  </si>
  <si>
    <t>compare_products 首轮遗漏，复测通过</t>
  </si>
  <si>
    <t>共享 MySQL 卷不是全新基线</t>
  </si>
  <si>
    <t>未执行破坏性重置；全新卷初始化待补测</t>
  </si>
  <si>
    <t>前端和 Agent 缺少确定性自动化</t>
  </si>
  <si>
    <t>前端无 test 脚本，pytest 收集 0 项</t>
  </si>
  <si>
    <t>智能商城测试用例表</t>
  </si>
  <si>
    <t>结果来自 2026-07-12 自动化、REST、并发、浏览器和静态审计；失败项均关联缺陷</t>
  </si>
  <si>
    <t>用例ID</t>
  </si>
  <si>
    <t>测试点</t>
  </si>
  <si>
    <t>优先级</t>
  </si>
  <si>
    <t>类型</t>
  </si>
  <si>
    <t>前置条件</t>
  </si>
  <si>
    <t>操作步骤</t>
  </si>
  <si>
    <t>测试数据</t>
  </si>
  <si>
    <t>预期结果</t>
  </si>
  <si>
    <t>实际结果</t>
  </si>
  <si>
    <t>结果</t>
  </si>
  <si>
    <t>关联缺陷</t>
  </si>
  <si>
    <t>执行方式/证据</t>
  </si>
  <si>
    <t>执行日期</t>
  </si>
  <si>
    <t>TC-AUTH-001</t>
  </si>
  <si>
    <t>未登录访问个人资料</t>
  </si>
  <si>
    <t>P0</t>
  </si>
  <si>
    <t>安全/接口</t>
  </si>
  <si>
    <t>服务健康</t>
  </si>
  <si>
    <t>GET /api/user/profile，不携带 Token</t>
  </si>
  <si>
    <t>无</t>
  </si>
  <si>
    <t>返回 401</t>
  </si>
  <si>
    <t>HTTP 401</t>
  </si>
  <si>
    <t>REST 实测</t>
  </si>
  <si>
    <t>TC-AUTH-002</t>
  </si>
  <si>
    <t>正确账号登录</t>
  </si>
  <si>
    <t>功能/接口</t>
  </si>
  <si>
    <t>Seed 已加载</t>
  </si>
  <si>
    <t>POST /api/auth/login</t>
  </si>
  <si>
    <t>alice / 123456</t>
  </si>
  <si>
    <t>返回 accessToken、refreshToken 和用户信息</t>
  </si>
  <si>
    <t>HTTP 200，Token 字段完整</t>
  </si>
  <si>
    <t>REST + 浏览器</t>
  </si>
  <si>
    <t>TC-AUTH-003</t>
  </si>
  <si>
    <t>错误密码统一提示</t>
  </si>
  <si>
    <t>用户存在</t>
  </si>
  <si>
    <t>使用错误密码登录</t>
  </si>
  <si>
    <t>alice / wrong-password</t>
  </si>
  <si>
    <t>返回 401 且不区分用户是否存在</t>
  </si>
  <si>
    <t>HTTP 401，消息“用户名或密码错误”</t>
  </si>
  <si>
    <t>TC-AUTH-004</t>
  </si>
  <si>
    <t>Refresh Token 换取 Access Token</t>
  </si>
  <si>
    <t>接口</t>
  </si>
  <si>
    <t>已登录</t>
  </si>
  <si>
    <t>POST /api/auth/refresh</t>
  </si>
  <si>
    <t>有效 refreshToken</t>
  </si>
  <si>
    <t>返回新的 accessToken</t>
  </si>
  <si>
    <t>HTTP 200</t>
  </si>
  <si>
    <t>TC-AUTH-005</t>
  </si>
  <si>
    <t>重复用户名注册</t>
  </si>
  <si>
    <t>P1</t>
  </si>
  <si>
    <t>边界/接口</t>
  </si>
  <si>
    <t>alice 已存在</t>
  </si>
  <si>
    <t>POST /api/auth/register</t>
  </si>
  <si>
    <t>username=alice</t>
  </si>
  <si>
    <t>返回 409</t>
  </si>
  <si>
    <t>HTTP 409</t>
  </si>
  <si>
    <t>TC-AUTH-006</t>
  </si>
  <si>
    <t>短密码校验</t>
  </si>
  <si>
    <t>注册密码少于 6 位</t>
  </si>
  <si>
    <t>password=12345</t>
  </si>
  <si>
    <t>返回 400</t>
  </si>
  <si>
    <t>HTTP 400</t>
  </si>
  <si>
    <t>TC-AUTH-007</t>
  </si>
  <si>
    <t>注册缺失 password</t>
  </si>
  <si>
    <t>异常/接口</t>
  </si>
  <si>
    <t>注册请求不传 password</t>
  </si>
  <si>
    <t>仅 username、phone</t>
  </si>
  <si>
    <t>返回 400 参数错误</t>
  </si>
  <si>
    <t>passwordEncoder.encode(null) 导致 HTTP 500</t>
  </si>
  <si>
    <t>D-003</t>
  </si>
  <si>
    <t>REST + 源码审计</t>
  </si>
  <si>
    <t>TC-AUTH-008</t>
  </si>
  <si>
    <t>普通用户创建商品</t>
  </si>
  <si>
    <t>权限/接口</t>
  </si>
  <si>
    <t>alice 已登录</t>
  </si>
  <si>
    <t>POST /api/products</t>
  </si>
  <si>
    <t>合法商品请求体</t>
  </si>
  <si>
    <t>返回 403</t>
  </si>
  <si>
    <t>HTTP 403</t>
  </si>
  <si>
    <t>TC-AUTH-009</t>
  </si>
  <si>
    <t>管理员访问后台</t>
  </si>
  <si>
    <t>权限/浏览器</t>
  </si>
  <si>
    <t>admin 已登录</t>
  </si>
  <si>
    <t>登录后进入 /admin</t>
  </si>
  <si>
    <t>admin / 123456</t>
  </si>
  <si>
    <t>后台可访问，ADMIN 权限生效</t>
  </si>
  <si>
    <t>后端权限与管理员登录通过</t>
  </si>
  <si>
    <t>TC-AUTH-010</t>
  </si>
  <si>
    <t>匿名访问管理员商品列表</t>
  </si>
  <si>
    <t>未登录</t>
  </si>
  <si>
    <t>GET /api/products/admin</t>
  </si>
  <si>
    <t>无 Token</t>
  </si>
  <si>
    <t>按项目要求返回 401</t>
  </si>
  <si>
    <t>实际返回 403</t>
  </si>
  <si>
    <t>D-002</t>
  </si>
  <si>
    <t>TC-AUTH-011</t>
  </si>
  <si>
    <t>密码 BCrypt 存储</t>
  </si>
  <si>
    <t>安全/单元</t>
  </si>
  <si>
    <t>Seed/注册可用</t>
  </si>
  <si>
    <t>检查密码编码与匹配</t>
  </si>
  <si>
    <t>123456</t>
  </si>
  <si>
    <t>哈希以 $2a$10$ 开头，错误密码不匹配</t>
  </si>
  <si>
    <t>PasswordEncoderTest 通过，Seed 为 $2a$10$</t>
  </si>
  <si>
    <t>JUnit + SQL 审计</t>
  </si>
  <si>
    <t>TC-PROD-001</t>
  </si>
  <si>
    <t>分类树查询</t>
  </si>
  <si>
    <t>GET /api/categories</t>
  </si>
  <si>
    <t>返回顶级分类及 children</t>
  </si>
  <si>
    <t>HTTP 200，7 个顶级分类</t>
  </si>
  <si>
    <t>TC-PROD-002</t>
  </si>
  <si>
    <t>商品列表分页</t>
  </si>
  <si>
    <t>有商品数据</t>
  </si>
  <si>
    <t>GET /api/products?page=1&amp;size=3</t>
  </si>
  <si>
    <t>page=1,size=3</t>
  </si>
  <si>
    <t>返回 total 和 3 条 list</t>
  </si>
  <si>
    <t>HTTP 200，total=65（执行时）</t>
  </si>
  <si>
    <t>TC-PROD-003</t>
  </si>
  <si>
    <t>中文模糊搜索</t>
  </si>
  <si>
    <t>搜索“键盘”</t>
  </si>
  <si>
    <t>keyword=键盘</t>
  </si>
  <si>
    <t>命中名称或描述含关键字商品</t>
  </si>
  <si>
    <t>HTTP 200，total=5</t>
  </si>
  <si>
    <t>TC-PROD-004</t>
  </si>
  <si>
    <t>页码超过最大页</t>
  </si>
  <si>
    <t>GET page=999</t>
  </si>
  <si>
    <t>page=999</t>
  </si>
  <si>
    <t>返回空列表，不报错</t>
  </si>
  <si>
    <t>HTTP 200，list=[]</t>
  </si>
  <si>
    <t>TC-PROD-005</t>
  </si>
  <si>
    <t>查询不存在商品</t>
  </si>
  <si>
    <t>GET /api/products/999999999</t>
  </si>
  <si>
    <t>不存在 ID</t>
  </si>
  <si>
    <t>返回 404</t>
  </si>
  <si>
    <t>HTTP 404</t>
  </si>
  <si>
    <t>TC-PROD-006</t>
  </si>
  <si>
    <t>销量优先展示</t>
  </si>
  <si>
    <t>P2</t>
  </si>
  <si>
    <t>功能/浏览器</t>
  </si>
  <si>
    <t>首页可用</t>
  </si>
  <si>
    <t>打开商品页观察默认排序</t>
  </si>
  <si>
    <t>高销量商品优先</t>
  </si>
  <si>
    <t>首页首屏显示高销量商品</t>
  </si>
  <si>
    <t>浏览器实测</t>
  </si>
  <si>
    <t>TC-PROD-007</t>
  </si>
  <si>
    <t>搜索结果价格排序</t>
  </si>
  <si>
    <t>功能/前端</t>
  </si>
  <si>
    <t>处于关键词搜索</t>
  </si>
  <si>
    <t>切换价格升序/降序</t>
  </si>
  <si>
    <t>请求携带 sort 且顺序变化</t>
  </si>
  <si>
    <t>搜索请求未传 sort，控件不生效</t>
  </si>
  <si>
    <t>D-008</t>
  </si>
  <si>
    <t>源码审计</t>
  </si>
  <si>
    <t>TC-PROD-008</t>
  </si>
  <si>
    <t>搜索关键字前后空格</t>
  </si>
  <si>
    <t>有键盘商品</t>
  </si>
  <si>
    <t>搜索“ 键盘 ”</t>
  </si>
  <si>
    <t>keyword=%20键盘%20</t>
  </si>
  <si>
    <t>服务端 trim 后仍命中 5 条</t>
  </si>
  <si>
    <t>实际 total=0</t>
  </si>
  <si>
    <t>D-015</t>
  </si>
  <si>
    <t>TC-PROD-009</t>
  </si>
  <si>
    <t>商品价格必须为正数</t>
  </si>
  <si>
    <t>校验/接口</t>
  </si>
  <si>
    <t>创建 price&lt;=0 商品</t>
  </si>
  <si>
    <t>price=0</t>
  </si>
  <si>
    <t>BusinessFlowHttpIntegrationTest 通过</t>
  </si>
  <si>
    <t>RestAssured</t>
  </si>
  <si>
    <t>TC-PROD-010</t>
  </si>
  <si>
    <t>商品库存不得为负</t>
  </si>
  <si>
    <t>创建 stock&lt;0 商品</t>
  </si>
  <si>
    <t>stock=-1</t>
  </si>
  <si>
    <t>TC-PROD-011</t>
  </si>
  <si>
    <t>本地图片上传与读取</t>
  </si>
  <si>
    <t>上传 PNG 并读取返回 URL</t>
  </si>
  <si>
    <t>cover.png</t>
  </si>
  <si>
    <t>201 且 /uploads/** 可访问</t>
  </si>
  <si>
    <t>自动化回归通过</t>
  </si>
  <si>
    <t>TC-PROD-012</t>
  </si>
  <si>
    <t>非法分页和路径参数</t>
  </si>
  <si>
    <t>请求 page=abc 与 /products/not-a-number</t>
  </si>
  <si>
    <t>非法字符串</t>
  </si>
  <si>
    <t>两种请求均返回 500</t>
  </si>
  <si>
    <t>TC-CART-001</t>
  </si>
  <si>
    <t>购物车</t>
  </si>
  <si>
    <t>未登录访问购物车</t>
  </si>
  <si>
    <t>GET /api/cart</t>
  </si>
  <si>
    <t>TC-CART-002</t>
  </si>
  <si>
    <t>加入购物车</t>
  </si>
  <si>
    <t>测试用户已登录</t>
  </si>
  <si>
    <t>POST /api/cart</t>
  </si>
  <si>
    <t>productId=21,quantity=1</t>
  </si>
  <si>
    <t>201，购物车新增商品</t>
  </si>
  <si>
    <t>HTTP 201</t>
  </si>
  <si>
    <t>隔离业务链路</t>
  </si>
  <si>
    <t>TC-CART-003</t>
  </si>
  <si>
    <t>重复商品数量合并</t>
  </si>
  <si>
    <t>功能/集成</t>
  </si>
  <si>
    <t>购物车已有同商品</t>
  </si>
  <si>
    <t>再次加购同一商品</t>
  </si>
  <si>
    <t>相同 productId</t>
  </si>
  <si>
    <t>保持 user+product 唯一并更新数量</t>
  </si>
  <si>
    <t>CartControllerIntegrationTest 通过</t>
  </si>
  <si>
    <t>JUnit 集成测试</t>
  </si>
  <si>
    <t>TC-CART-004</t>
  </si>
  <si>
    <t>数量为 0 或负数</t>
  </si>
  <si>
    <t>新增/更新非法数量</t>
  </si>
  <si>
    <t>quantity=0/-1</t>
  </si>
  <si>
    <t>校验测试通过</t>
  </si>
  <si>
    <t>JUnit/REST</t>
  </si>
  <si>
    <t>TC-CART-005</t>
  </si>
  <si>
    <t>缺失 quantity</t>
  </si>
  <si>
    <t>POST /api/cart 不传 quantity</t>
  </si>
  <si>
    <t>仅 productId</t>
  </si>
  <si>
    <t>空值拆箱导致 HTTP 500</t>
  </si>
  <si>
    <t>TC-CART-006</t>
  </si>
  <si>
    <t>数量超过库存</t>
  </si>
  <si>
    <t>业务/接口</t>
  </si>
  <si>
    <t>库存有限</t>
  </si>
  <si>
    <t>加购数量大于库存</t>
  </si>
  <si>
    <t>quantity=stock+1</t>
  </si>
  <si>
    <t>返回明确库存不足</t>
  </si>
  <si>
    <t>TC-CART-007</t>
  </si>
  <si>
    <t>购物车合计实时计算</t>
  </si>
  <si>
    <t>alice 有 2 个购物车项</t>
  </si>
  <si>
    <t>打开 /cart</t>
  </si>
  <si>
    <t>129x2 + 399x1</t>
  </si>
  <si>
    <t>显示 2 件、合计 ¥657</t>
  </si>
  <si>
    <t>浏览器显示 ¥657.00</t>
  </si>
  <si>
    <t>TC-CART-008</t>
  </si>
  <si>
    <t>售罄商品禁止加购</t>
  </si>
  <si>
    <t>前端/浏览器</t>
  </si>
  <si>
    <t>存在 stock=0 测试商品</t>
  </si>
  <si>
    <t>查看推荐和商品卡</t>
  </si>
  <si>
    <t>并发测试商品 stock=0</t>
  </si>
  <si>
    <t>按钮禁用</t>
  </si>
  <si>
    <t>浏览器按钮 disabled</t>
  </si>
  <si>
    <t>TC-ORDER-001</t>
  </si>
  <si>
    <t>订单模块</t>
  </si>
  <si>
    <t>购物车创建订单</t>
  </si>
  <si>
    <t>主链路/接口</t>
  </si>
  <si>
    <t>隔离用户购物车有商品</t>
  </si>
  <si>
    <t>POST /api/orders</t>
  </si>
  <si>
    <t>cartItemIds + 地址</t>
  </si>
  <si>
    <t>201，PENDING_PAYMENT</t>
  </si>
  <si>
    <t>订单 377 创建成功</t>
  </si>
  <si>
    <t>隔离 REST 链路</t>
  </si>
  <si>
    <t>TC-ORDER-002</t>
  </si>
  <si>
    <t>空收货地址校验</t>
  </si>
  <si>
    <t>创建订单时地址为空</t>
  </si>
  <si>
    <t>shippingAddress=""</t>
  </si>
  <si>
    <t>TC-ORDER-003</t>
  </si>
  <si>
    <t>浏览器进入结算页</t>
  </si>
  <si>
    <t>主链路/浏览器</t>
  </si>
  <si>
    <t>alice 购物车有商品</t>
  </si>
  <si>
    <t>/cart 点击“去结算”</t>
  </si>
  <si>
    <t>cartItemIds=2,1</t>
  </si>
  <si>
    <t>显示商品、优惠、地址和提交按钮</t>
  </si>
  <si>
    <t>路由跳转后页面空白，reactive 未定义</t>
  </si>
  <si>
    <t>D-001</t>
  </si>
  <si>
    <t>浏览器控制台 + CheckoutView.vue:118/136</t>
  </si>
  <si>
    <t>TC-ORDER-004</t>
  </si>
  <si>
    <t>待付款直接确认收货</t>
  </si>
  <si>
    <t>状态机/接口</t>
  </si>
  <si>
    <t>订单为 PENDING_PAYMENT</t>
  </si>
  <si>
    <t>PUT /confirm</t>
  </si>
  <si>
    <t>orderId=377</t>
  </si>
  <si>
    <t>拒绝非法跳转，返回 400</t>
  </si>
  <si>
    <t>TC-ORDER-005</t>
  </si>
  <si>
    <t>取消待付款订单</t>
  </si>
  <si>
    <t>PUT /cancel</t>
  </si>
  <si>
    <t>订单变为 CANCELLED</t>
  </si>
  <si>
    <t>HTTP 200，状态 CANCELLED</t>
  </si>
  <si>
    <t>TC-ORDER-006</t>
  </si>
  <si>
    <t>取消订单回补库存</t>
  </si>
  <si>
    <t>事务/接口</t>
  </si>
  <si>
    <t>订单已扣库存</t>
  </si>
  <si>
    <t>取消后查询商品</t>
  </si>
  <si>
    <t>productId=21</t>
  </si>
  <si>
    <t>库存恢复至下单前</t>
  </si>
  <si>
    <t>80 -&gt; 扣减 -&gt; 80</t>
  </si>
  <si>
    <t>REST + 数据校验</t>
  </si>
  <si>
    <t>TC-ORDER-007</t>
  </si>
  <si>
    <t>下单后清理购物车</t>
  </si>
  <si>
    <t>从购物车下单</t>
  </si>
  <si>
    <t>下单后查询购物车</t>
  </si>
  <si>
    <t>测试购物车项</t>
  </si>
  <si>
    <t>对应项被删除</t>
  </si>
  <si>
    <t>隔离链路确认已清空</t>
  </si>
  <si>
    <t>TC-ORDER-008</t>
  </si>
  <si>
    <t>并发/数据库</t>
  </si>
  <si>
    <t>真实 MySQL，隔离商品库存80</t>
  </si>
  <si>
    <t>运行 concurrent_order_test.py</t>
  </si>
  <si>
    <t>requests=100,stock=80</t>
  </si>
  <si>
    <t>成功80、库存不足20、无异常</t>
  </si>
  <si>
    <t>80/20/0，耗时约3084ms</t>
  </si>
  <si>
    <t>真实 MySQL 并发</t>
  </si>
  <si>
    <t>TC-ORDER-009</t>
  </si>
  <si>
    <t>并发后库存/销量/version</t>
  </si>
  <si>
    <t>并发用例完成</t>
  </si>
  <si>
    <t>查询并发商品</t>
  </si>
  <si>
    <t>productId=66</t>
  </si>
  <si>
    <t>stock=0,sales=80,version=80</t>
  </si>
  <si>
    <t>实际 0/80/80</t>
  </si>
  <si>
    <t>脚本断言 + 数据校验</t>
  </si>
  <si>
    <t>TC-ORDER-010</t>
  </si>
  <si>
    <t>失败事务无脏数据</t>
  </si>
  <si>
    <t>事务/集成</t>
  </si>
  <si>
    <t>库存不足或 CAS 冲突</t>
  </si>
  <si>
    <t>触发失败并查询订单/明细/库存</t>
  </si>
  <si>
    <t>库存不足场景</t>
  </si>
  <si>
    <t>复合操作整体回滚</t>
  </si>
  <si>
    <t>OrderServiceIntegrationTest 通过</t>
  </si>
  <si>
    <t>TC-ORDER-011</t>
  </si>
  <si>
    <t>合法状态流转</t>
  </si>
  <si>
    <t>状态机/集成</t>
  </si>
  <si>
    <t>准备各状态订单</t>
  </si>
  <si>
    <t>支付、发货、确认收货</t>
  </si>
  <si>
    <t>PENDING-&gt;PAID-&gt;SHIPPED-&gt;COMPLETED</t>
  </si>
  <si>
    <t>仅允许合法转换且无重复副作用</t>
  </si>
  <si>
    <t>TC-ORDER-012</t>
  </si>
  <si>
    <t>直购缺失 quantity</t>
  </si>
  <si>
    <t>POST /api/orders/direct 不传 quantity</t>
  </si>
  <si>
    <t>productId + 地址</t>
  </si>
  <si>
    <t>TC-ORDER-013</t>
  </si>
  <si>
    <t>下单显式 @Transactional 合规</t>
  </si>
  <si>
    <t>阅读 OrderService</t>
  </si>
  <si>
    <t>检查下单入口注解</t>
  </si>
  <si>
    <t>AGENTS.md 5.2</t>
  </si>
  <si>
    <t>下单方法存在 @Transactional</t>
  </si>
  <si>
    <t>实际使用 TransactionTemplate REQUIRES_NEW，无注解</t>
  </si>
  <si>
    <t>D-010</t>
  </si>
  <si>
    <t>TC-ORDER-014</t>
  </si>
  <si>
    <t>订单明细快照</t>
  </si>
  <si>
    <t>数据/集成</t>
  </si>
  <si>
    <t>创建订单</t>
  </si>
  <si>
    <t>检查 order_item</t>
  </si>
  <si>
    <t>商品名和价格</t>
  </si>
  <si>
    <t>保存下单时快照，不受商品修改影响</t>
  </si>
  <si>
    <t>实体、DDL 和集成测试符合</t>
  </si>
  <si>
    <t>代码/SQL 审计</t>
  </si>
  <si>
    <t>TC-AI-001</t>
  </si>
  <si>
    <t>AI助手</t>
  </si>
  <si>
    <t>健康检查与工具清单</t>
  </si>
  <si>
    <t>服务/接口</t>
  </si>
  <si>
    <t>Agent healthy</t>
  </si>
  <si>
    <t>GET /health</t>
  </si>
  <si>
    <t>200，llmEnabled=true，至少2工具</t>
  </si>
  <si>
    <t>HTTP 200，8 个工具</t>
  </si>
  <si>
    <t>TC-AI-002</t>
  </si>
  <si>
    <t>未认证调用 Agent</t>
  </si>
  <si>
    <t>POST /agent/chat</t>
  </si>
  <si>
    <t>任意消息</t>
  </si>
  <si>
    <t>TC-AI-003</t>
  </si>
  <si>
    <t>真实商品搜索推荐</t>
  </si>
  <si>
    <t>工具调用</t>
  </si>
  <si>
    <t>询问500元内编程键盘</t>
  </si>
  <si>
    <t>“有没有适合敲代码的键盘，预算500”</t>
  </si>
  <si>
    <t>调用商品工具并返回真实名称/库存</t>
  </si>
  <si>
    <t>返回 K87、静音键盘和真实库存</t>
  </si>
  <si>
    <t>Agent 烟测 + 浏览器</t>
  </si>
  <si>
    <t>TC-AI-004</t>
  </si>
  <si>
    <t>查询真实订单状态</t>
  </si>
  <si>
    <t>用户有订单</t>
  </si>
  <si>
    <t>询问“我上次买的东西到哪了”</t>
  </si>
  <si>
    <t>alice JWT</t>
  </si>
  <si>
    <t>调用 query_order_status</t>
  </si>
  <si>
    <t>烟测 toolsUsed 包含订单工具</t>
  </si>
  <si>
    <t>Agent 烟测</t>
  </si>
  <si>
    <t>TC-AI-005</t>
  </si>
  <si>
    <t>长期偏好跨新会话</t>
  </si>
  <si>
    <t>记忆</t>
  </si>
  <si>
    <t>用户表达机械键盘偏好</t>
  </si>
  <si>
    <t>新 session 请求推荐</t>
  </si>
  <si>
    <t>session A/B</t>
  </si>
  <si>
    <t>新会话仍体现偏好</t>
  </si>
  <si>
    <t>烟测通过，偏好 top3 可见</t>
  </si>
  <si>
    <t>TC-AI-006</t>
  </si>
  <si>
    <t>非购物问题拒答</t>
  </si>
  <si>
    <t>安全/行为</t>
  </si>
  <si>
    <t>Agent 可用</t>
  </si>
  <si>
    <t>询问天气</t>
  </si>
  <si>
    <t>“今天天气怎么样”</t>
  </si>
  <si>
    <t>说明仅支持购物，不编造</t>
  </si>
  <si>
    <t>烟测通过且未调用工具</t>
  </si>
  <si>
    <t>TC-AI-007</t>
  </si>
  <si>
    <t>加购前二次确认</t>
  </si>
  <si>
    <t>业务安全</t>
  </si>
  <si>
    <t>用户请求加购</t>
  </si>
  <si>
    <t>先提议、后发送“确认”</t>
  </si>
  <si>
    <t>商品ID 1</t>
  </si>
  <si>
    <t>确认前不写购物车，确认后调用 add_to_cart</t>
  </si>
  <si>
    <t>烟测通过</t>
  </si>
  <si>
    <t>TC-AI-008</t>
  </si>
  <si>
    <t>待确认加购按 session 隔离</t>
  </si>
  <si>
    <t>会话隔离</t>
  </si>
  <si>
    <t>同一用户两个 session</t>
  </si>
  <si>
    <t>A 发起加购，B 仅发送“确认”</t>
  </si>
  <si>
    <t>B 不应继承 A 的待确认状态</t>
  </si>
  <si>
    <t>B 实际调用 add_to_cart 并成功加购</t>
  </si>
  <si>
    <t>D-005</t>
  </si>
  <si>
    <t>定向运行测试 + main.py 审计</t>
  </si>
  <si>
    <t>TC-AI-009</t>
  </si>
  <si>
    <t>商品对比工具稳定选择</t>
  </si>
  <si>
    <t>非确定性</t>
  </si>
  <si>
    <t>真实 LLM 已启用</t>
  </si>
  <si>
    <t>执行完整 agent_smoke</t>
  </si>
  <si>
    <t>对比商品ID1和2</t>
  </si>
  <si>
    <t>toolsUsed 含 compare_products</t>
  </si>
  <si>
    <t>首轮遗漏；同提示复测3/3和整套重跑通过</t>
  </si>
  <si>
    <t>D-014</t>
  </si>
  <si>
    <t>真实模型烟测</t>
  </si>
  <si>
    <t>TC-AI-010</t>
  </si>
  <si>
    <t>换账号后清理可见聊天</t>
  </si>
  <si>
    <t>隐私/前端</t>
  </si>
  <si>
    <t>Alice 已有聊天</t>
  </si>
  <si>
    <t>SPA 内退出后 Bob 登录</t>
  </si>
  <si>
    <t>Alice/Bob</t>
  </si>
  <si>
    <t>Bob 不可看到 Alice 消息</t>
  </si>
  <si>
    <t>模块级 messages 未在 logout 清理</t>
  </si>
  <si>
    <t>D-006</t>
  </si>
  <si>
    <t>TC-AI-011</t>
  </si>
  <si>
    <t>Agent 401 自动刷新</t>
  </si>
  <si>
    <t>认证/前端</t>
  </si>
  <si>
    <t>Access 过期、Refresh 有效</t>
  </si>
  <si>
    <t>继续发起 Agent 请求</t>
  </si>
  <si>
    <t>过期 accessToken</t>
  </si>
  <si>
    <t>刷新 Token 后重试或跳登录</t>
  </si>
  <si>
    <t>agentApi/fetch 未挂统一响应刷新</t>
  </si>
  <si>
    <t>D-007</t>
  </si>
  <si>
    <t>TC-AI-012</t>
  </si>
  <si>
    <t>预算筛选覆盖完整结果</t>
  </si>
  <si>
    <t>工具正确性</t>
  </si>
  <si>
    <t>符合预算商品排在第6名后</t>
  </si>
  <si>
    <t>调用 search_products(max_price)</t>
  </si>
  <si>
    <t>max_price=500</t>
  </si>
  <si>
    <t>搜索全集后按预算过滤</t>
  </si>
  <si>
    <t>仅取销量前5再过滤，可能漏商品</t>
  </si>
  <si>
    <t>D-009</t>
  </si>
  <si>
    <t>TC-AI-013</t>
  </si>
  <si>
    <t>会话历史读取</t>
  </si>
  <si>
    <t>记忆/接口</t>
  </si>
  <si>
    <t>已有对话</t>
  </si>
  <si>
    <t>GET /agent/history</t>
  </si>
  <si>
    <t>合法 sessionId</t>
  </si>
  <si>
    <t>返回 user/assistant 历史</t>
  </si>
  <si>
    <t>Agent 烟测通过</t>
  </si>
  <si>
    <t>TC-AI-014</t>
  </si>
  <si>
    <t>至少两个工具可调用</t>
  </si>
  <si>
    <t>框架合规</t>
  </si>
  <si>
    <t>Agent 启动</t>
  </si>
  <si>
    <t>检查工具注册与烟测 toolsUsed</t>
  </si>
  <si>
    <t>至少 search_products/query_order_status</t>
  </si>
  <si>
    <t>实际注册8个工具且多工具烟测通过</t>
  </si>
  <si>
    <t>健康接口 + 烟测</t>
  </si>
  <si>
    <t>TC-DEP-001</t>
  </si>
  <si>
    <t>部署与文档</t>
  </si>
  <si>
    <t>Compose 配置解析</t>
  </si>
  <si>
    <t>部署</t>
  </si>
  <si>
    <t>.env 已配置</t>
  </si>
  <si>
    <t>运行 docker compose config --quiet</t>
  </si>
  <si>
    <t>当前 .env</t>
  </si>
  <si>
    <t>命令成功</t>
  </si>
  <si>
    <t>退出码 0</t>
  </si>
  <si>
    <t>Compose 实测</t>
  </si>
  <si>
    <t>TC-DEP-002</t>
  </si>
  <si>
    <t>四服务健康状态</t>
  </si>
  <si>
    <t>Compose 已启动</t>
  </si>
  <si>
    <t>运行 docker compose ps</t>
  </si>
  <si>
    <t>frontend/backend/agent/mysql</t>
  </si>
  <si>
    <t>全部 Up (healthy)</t>
  </si>
  <si>
    <t>四服务 healthy，FailingStreak=0</t>
  </si>
  <si>
    <t>Docker 实测</t>
  </si>
  <si>
    <t>TC-DEP-003</t>
  </si>
  <si>
    <t>关键服务日志</t>
  </si>
  <si>
    <t>可观测性</t>
  </si>
  <si>
    <t>业务与 Agent 已调用</t>
  </si>
  <si>
    <t>检查 backend/agent 日志</t>
  </si>
  <si>
    <t>并发和烟测时段</t>
  </si>
  <si>
    <t>有 INFO 业务日志且无 ERROR</t>
  </si>
  <si>
    <t>订单成功/库存不足/工具调用可见，无 ERROR</t>
  </si>
  <si>
    <t>Docker logs</t>
  </si>
  <si>
    <t>TC-DEP-004</t>
  </si>
  <si>
    <t>后端自动化回归</t>
  </si>
  <si>
    <t>JDK/Maven 可用</t>
  </si>
  <si>
    <t>mvn.cmd -q test</t>
  </si>
  <si>
    <t>9 个测试套件</t>
  </si>
  <si>
    <t>全部通过</t>
  </si>
  <si>
    <t>30 tests，0 failures，0 errors</t>
  </si>
  <si>
    <t>Surefire 报告</t>
  </si>
  <si>
    <t>TC-DEP-005</t>
  </si>
  <si>
    <t>前端生产构建</t>
  </si>
  <si>
    <t>构建</t>
  </si>
  <si>
    <t>Node 依赖已安装</t>
  </si>
  <si>
    <t>npm run build</t>
  </si>
  <si>
    <t>Vue3 项目</t>
  </si>
  <si>
    <t>构建成功</t>
  </si>
  <si>
    <t>2328 modules 构建成功；有 &gt;500kB 警告</t>
  </si>
  <si>
    <t>D-018</t>
  </si>
  <si>
    <t>Vite build</t>
  </si>
  <si>
    <t>TC-DEP-006</t>
  </si>
  <si>
    <t>Agent 完整烟测</t>
  </si>
  <si>
    <t>真实 LLM 与后端可用</t>
  </si>
  <si>
    <t>运行 scripts/agent_smoke.py</t>
  </si>
  <si>
    <t>完整脚本</t>
  </si>
  <si>
    <t>所有场景通过</t>
  </si>
  <si>
    <t>重跑完整脚本通过，约78秒</t>
  </si>
  <si>
    <t>Python 烟测</t>
  </si>
  <si>
    <t>TC-DEP-007</t>
  </si>
  <si>
    <t>全新数据卷初始化</t>
  </si>
  <si>
    <t>部署/数据库</t>
  </si>
  <si>
    <t>允许新建空卷</t>
  </si>
  <si>
    <t>从空卷 docker compose up -d --build</t>
  </si>
  <si>
    <t>全新 mysql_data</t>
  </si>
  <si>
    <t>自动执行 schema+seed 并健康</t>
  </si>
  <si>
    <t>本轮未破坏共享卷，未执行</t>
  </si>
  <si>
    <t>未执行</t>
  </si>
  <si>
    <t>风险控制</t>
  </si>
  <si>
    <t>TC-DEP-008</t>
  </si>
  <si>
    <t>Seed 数据规模</t>
  </si>
  <si>
    <t>数据审计</t>
  </si>
  <si>
    <t>读取 docs/seed.sql</t>
  </si>
  <si>
    <t>核对账号、分类和商品</t>
  </si>
  <si>
    <t>Seed 文件</t>
  </si>
  <si>
    <t>至少3用户、3分类、20商品</t>
  </si>
  <si>
    <t>实际3用户、20分类节点、60商品</t>
  </si>
  <si>
    <t>SQL 静态审计</t>
  </si>
  <si>
    <t>TC-DEP-009</t>
  </si>
  <si>
    <t>核心表引擎和字符集</t>
  </si>
  <si>
    <t>数据库合规</t>
  </si>
  <si>
    <t>读取 schema.sql</t>
  </si>
  <si>
    <t>核对 CREATE TABLE</t>
  </si>
  <si>
    <t>24张表</t>
  </si>
  <si>
    <t>InnoDB、utf8mb4、外键合理</t>
  </si>
  <si>
    <t>Schema 符合</t>
  </si>
  <si>
    <t>TC-DEP-010</t>
  </si>
  <si>
    <t>ER 图覆盖全部表</t>
  </si>
  <si>
    <t>文档合规</t>
  </si>
  <si>
    <t>读取 schema 与 ER</t>
  </si>
  <si>
    <t>比较实体数量和字段</t>
  </si>
  <si>
    <t>24表</t>
  </si>
  <si>
    <t>ER 展示全部表和关系</t>
  </si>
  <si>
    <t>ER 仅19实体，缺5表及若干字段</t>
  </si>
  <si>
    <t>D-011</t>
  </si>
  <si>
    <t>文档审计</t>
  </si>
  <si>
    <t>TC-DEP-011</t>
  </si>
  <si>
    <t>数据库设计商品数量口径</t>
  </si>
  <si>
    <t>文档一致性</t>
  </si>
  <si>
    <t>读取 seed 与 database-design</t>
  </si>
  <si>
    <t>比较商品数量</t>
  </si>
  <si>
    <t>Seed 60</t>
  </si>
  <si>
    <t>文档与 Seed 一致</t>
  </si>
  <si>
    <t>文档仍写45，实际60</t>
  </si>
  <si>
    <t>D-012</t>
  </si>
  <si>
    <t>TC-DEP-012</t>
  </si>
  <si>
    <t>外部端口符合项目规格</t>
  </si>
  <si>
    <t>配置合规</t>
  </si>
  <si>
    <t>读取 AGENTS 与 Compose</t>
  </si>
  <si>
    <t>比较宿主映射</t>
  </si>
  <si>
    <t>backend 8080、MySQL 3306</t>
  </si>
  <si>
    <t>按规格映射或明确批准变更</t>
  </si>
  <si>
    <t>实际 backend 8081、MySQL 3307</t>
  </si>
  <si>
    <t>D-013</t>
  </si>
  <si>
    <t>配置审计</t>
  </si>
  <si>
    <t>TC-DEP-013</t>
  </si>
  <si>
    <t>前端自动化测试入口</t>
  </si>
  <si>
    <t>检查 package.json</t>
  </si>
  <si>
    <t>运行/检查 test 脚本</t>
  </si>
  <si>
    <t>存在基础组件/E2E 回归</t>
  </si>
  <si>
    <t>无 test/lint 脚本，本轮未执行</t>
  </si>
  <si>
    <t>D-016</t>
  </si>
  <si>
    <t>测试缺口</t>
  </si>
  <si>
    <t>TC-DEP-014</t>
  </si>
  <si>
    <t>Agent 确定性单元测试</t>
  </si>
  <si>
    <t>检查 agent-service</t>
  </si>
  <si>
    <t>pytest 收集</t>
  </si>
  <si>
    <t>pytest</t>
  </si>
  <si>
    <t>覆盖工具授权、会话隔离、偏好 upsert</t>
  </si>
  <si>
    <t>collected 0 items</t>
  </si>
  <si>
    <t>D-017</t>
  </si>
  <si>
    <t>pytest 实测</t>
  </si>
  <si>
    <t>TC-DEP-015</t>
  </si>
  <si>
    <t>Swagger 页面可访问</t>
  </si>
  <si>
    <t>文档/接口</t>
  </si>
  <si>
    <t>backend healthy</t>
  </si>
  <si>
    <t>GET /swagger-ui/index.html</t>
  </si>
  <si>
    <t>宿主 8081</t>
  </si>
  <si>
    <t>返回 200 页面</t>
  </si>
  <si>
    <t>Springdoc 已配置，运行服务可访问</t>
  </si>
  <si>
    <t>配置 + 服务检查</t>
  </si>
  <si>
    <t>测试环境与账号</t>
  </si>
  <si>
    <t>所有密钥仅检查是否配置，不在工作簿中记录值；账号仅限本机演示数据库</t>
  </si>
  <si>
    <t>1. 服务与运行环境</t>
  </si>
  <si>
    <t>组件</t>
  </si>
  <si>
    <t>技术/版本</t>
  </si>
  <si>
    <t>宿主地址</t>
  </si>
  <si>
    <t>容器地址/端口</t>
  </si>
  <si>
    <t>状态</t>
  </si>
  <si>
    <t>验证方式</t>
  </si>
  <si>
    <t>操作系统</t>
  </si>
  <si>
    <t>Windows / Asia-Shanghai</t>
  </si>
  <si>
    <t>本机</t>
  </si>
  <si>
    <t>—</t>
  </si>
  <si>
    <t>可用</t>
  </si>
  <si>
    <t>当前 Codex 工作区</t>
  </si>
  <si>
    <t>前端</t>
  </si>
  <si>
    <t>Vue 3 + Nginx 1.27</t>
  </si>
  <si>
    <t>http://127.0.0.1/</t>
  </si>
  <si>
    <t>frontend:80</t>
  </si>
  <si>
    <t>Healthy</t>
  </si>
  <si>
    <t>浏览器首页与健康检查</t>
  </si>
  <si>
    <t>后端</t>
  </si>
  <si>
    <t>Spring Boot 3.3.6 / Java 17</t>
  </si>
  <si>
    <t>http://127.0.0.1:8081</t>
  </si>
  <si>
    <t>backend:8080</t>
  </si>
  <si>
    <t>公开商品接口/Swagger</t>
  </si>
  <si>
    <t>Agent</t>
  </si>
  <si>
    <t>FastAPI + LangChain / Python 3.11</t>
  </si>
  <si>
    <t>http://127.0.0.1:8000</t>
  </si>
  <si>
    <t>agent-service:8000</t>
  </si>
  <si>
    <t>MySQL</t>
  </si>
  <si>
    <t>MySQL 8.0</t>
  </si>
  <si>
    <t>127.0.0.1:3307</t>
  </si>
  <si>
    <t>mysql:3306</t>
  </si>
  <si>
    <t>mysqladmin ping</t>
  </si>
  <si>
    <t>Docker</t>
  </si>
  <si>
    <t>Engine 29.6.1 / Compose 5.2.0</t>
  </si>
  <si>
    <t>本机 Docker Desktop</t>
  </si>
  <si>
    <t>Compose network</t>
  </si>
  <si>
    <t>docker compose ps</t>
  </si>
  <si>
    <t>Codex 应用内浏览器</t>
  </si>
  <si>
    <t>DOM 快照与控制台日志</t>
  </si>
  <si>
    <t>Maven 3.9.16 / JDK 17 / Node 20 image</t>
  </si>
  <si>
    <t>本机/容器</t>
  </si>
  <si>
    <t>mvn test / npm run build</t>
  </si>
  <si>
    <t>2. 环境变量（只记录用途和配置状态）</t>
  </si>
  <si>
    <t>变量</t>
  </si>
  <si>
    <t>服务</t>
  </si>
  <si>
    <t>用途</t>
  </si>
  <si>
    <t>是否必填</t>
  </si>
  <si>
    <t>安全说明</t>
  </si>
  <si>
    <t>MYSQL_ROOT_PASSWORD</t>
  </si>
  <si>
    <t>MySQL/Backend/Agent</t>
  </si>
  <si>
    <t>数据库 root 密码</t>
  </si>
  <si>
    <t>是</t>
  </si>
  <si>
    <t>已配置</t>
  </si>
  <si>
    <t>值不写入测试文档和 Git</t>
  </si>
  <si>
    <t>MYSQL_DATABASE</t>
  </si>
  <si>
    <t>全部</t>
  </si>
  <si>
    <t>数据库名</t>
  </si>
  <si>
    <t>smart_mall</t>
  </si>
  <si>
    <t>JWT_SECRET</t>
  </si>
  <si>
    <t>Backend</t>
  </si>
  <si>
    <t>JWT 签名，至少32字符</t>
  </si>
  <si>
    <t>值不披露</t>
  </si>
  <si>
    <t>INTERNAL_SERVICE_SECRET</t>
  </si>
  <si>
    <t>Backend/Agent</t>
  </si>
  <si>
    <t>服务间认证</t>
  </si>
  <si>
    <t>LLM_API_KEY</t>
  </si>
  <si>
    <t>真实模型调用</t>
  </si>
  <si>
    <t>真实模型演示必填</t>
  </si>
  <si>
    <t>LLM_BASE_URL</t>
  </si>
  <si>
    <t>OpenAI 兼容端点</t>
  </si>
  <si>
    <t>按供应商</t>
  </si>
  <si>
    <t>LLM_MODEL</t>
  </si>
  <si>
    <t>模型名称</t>
  </si>
  <si>
    <t>否</t>
  </si>
  <si>
    <t>健康接口显示 llmEnabled=true</t>
  </si>
  <si>
    <t>3. 测试账号</t>
  </si>
  <si>
    <t>账号</t>
  </si>
  <si>
    <t>密码</t>
  </si>
  <si>
    <t>角色</t>
  </si>
  <si>
    <t>手机</t>
  </si>
  <si>
    <t>数据来源</t>
  </si>
  <si>
    <t>注意事项</t>
  </si>
  <si>
    <t>admin</t>
  </si>
  <si>
    <t>ADMIN</t>
  </si>
  <si>
    <t>13800000000</t>
  </si>
  <si>
    <t>管理后台、商品管理、图片上传</t>
  </si>
  <si>
    <t>Seed SQL</t>
  </si>
  <si>
    <t>仅本机演示；禁止复用到生产</t>
  </si>
  <si>
    <t>alice</t>
  </si>
  <si>
    <t>USER</t>
  </si>
  <si>
    <t>13800000001</t>
  </si>
  <si>
    <t>购物车、订单、偏好、AI 对话</t>
  </si>
  <si>
    <t>包含预置购物车、订单和偏好</t>
  </si>
  <si>
    <t>bob</t>
  </si>
  <si>
    <t>13800000002</t>
  </si>
  <si>
    <t>用户隔离、换账号场景</t>
  </si>
  <si>
    <t>用于跨用户可见性检查</t>
  </si>
  <si>
    <t>smoke_rt_815a93bda8</t>
  </si>
  <si>
    <t>脚本生成</t>
  </si>
  <si>
    <t>脚本随机</t>
  </si>
  <si>
    <t>隔离订单链路</t>
  </si>
  <si>
    <t>本轮运行态测试</t>
  </si>
  <si>
    <t>订单377已取消，库存已回补</t>
  </si>
  <si>
    <t>race_1783841014-1-dcd4daa502</t>
  </si>
  <si>
    <t>100/80并发验收</t>
  </si>
  <si>
    <t>并发脚本</t>
  </si>
  <si>
    <t>商品66库存0，保留作证据</t>
  </si>
  <si>
    <t>4. 测试命令与入口</t>
  </si>
  <si>
    <t>命令/入口</t>
  </si>
  <si>
    <t>本轮结果</t>
  </si>
  <si>
    <t>证据位置</t>
  </si>
  <si>
    <t>后端自动化</t>
  </si>
  <si>
    <t>cd backend; mvn.cmd -q test</t>
  </si>
  <si>
    <t>30/30 通过</t>
  </si>
  <si>
    <t>backend/target/surefire-reports</t>
  </si>
  <si>
    <t>前端构建</t>
  </si>
  <si>
    <t>cd frontend; npm.cmd run build</t>
  </si>
  <si>
    <t>构建通过，存在大 chunk 警告</t>
  </si>
  <si>
    <t>frontend/dist</t>
  </si>
  <si>
    <t>python scripts/agent_smoke.py --base-url http://127.0.0.1:8000 --backend-url http://127.0.0.1:8081</t>
  </si>
  <si>
    <t>首轮1项间歇失败，整套重跑通过</t>
  </si>
  <si>
    <t>Agent/Backend logs</t>
  </si>
  <si>
    <t>python scripts/concurrent_order_test.py --base-url http://127.0.0.1:8081 --rounds 1 --requests 100 --stock 80</t>
  </si>
  <si>
    <t>80成功/20库存不足/0异常</t>
  </si>
  <si>
    <t>数据库+脚本输出</t>
  </si>
  <si>
    <t>容器状态</t>
  </si>
  <si>
    <t>四服务 healthy</t>
  </si>
  <si>
    <t>Docker Desktop</t>
  </si>
  <si>
    <t>前端入口</t>
  </si>
  <si>
    <t>可访问</t>
  </si>
  <si>
    <t>Swagger</t>
  </si>
  <si>
    <t>http://127.0.0.1:8081/swagger-ui/index.html</t>
  </si>
  <si>
    <t>Springdoc</t>
  </si>
  <si>
    <t>缺陷登记</t>
  </si>
  <si>
    <t>当前周期缺陷在前；历史已关闭项来自 docs/bug-list.md，用于展示缺陷生命周期</t>
  </si>
  <si>
    <t>缺陷ID</t>
  </si>
  <si>
    <t>标题</t>
  </si>
  <si>
    <t>严重度</t>
  </si>
  <si>
    <t>发现方式</t>
  </si>
  <si>
    <t>复现步骤</t>
  </si>
  <si>
    <t>预期</t>
  </si>
  <si>
    <t>实际</t>
  </si>
  <si>
    <t>证据/位置</t>
  </si>
  <si>
    <t>修复建议</t>
  </si>
  <si>
    <t>关联用例</t>
  </si>
  <si>
    <t>复测结论</t>
  </si>
  <si>
    <t>订单/前端</t>
  </si>
  <si>
    <t>结算页运行时空白</t>
  </si>
  <si>
    <t>阻断</t>
  </si>
  <si>
    <t>新建</t>
  </si>
  <si>
    <t>alice 购物车点击“去结算”</t>
  </si>
  <si>
    <t>结算页展示商品、地址和提交按钮</t>
  </si>
  <si>
    <t>页面空白，控制台 ReferenceError: reactive is not defined</t>
  </si>
  <si>
    <t>frontend/src/views/CheckoutView.vue:118,136</t>
  </si>
  <si>
    <t>从 vue 导入 reactive，补路由级组件测试</t>
  </si>
  <si>
    <t>待修复后复测</t>
  </si>
  <si>
    <t>安全/商品</t>
  </si>
  <si>
    <t>匿名管理员商品列表返回403而非401</t>
  </si>
  <si>
    <t>高</t>
  </si>
  <si>
    <t>REST</t>
  </si>
  <si>
    <t>无 Token GET /api/products/admin</t>
  </si>
  <si>
    <t>返回401</t>
  </si>
  <si>
    <t>返回403</t>
  </si>
  <si>
    <t>SecurityConfig.java:43；ProductController.java:95</t>
  </si>
  <si>
    <t>从游客 products GET 白名单中排除 admin 路径</t>
  </si>
  <si>
    <t>未修复</t>
  </si>
  <si>
    <t>接口校验</t>
  </si>
  <si>
    <t>缺失或类型错误参数返回500</t>
  </si>
  <si>
    <t>REST/源码</t>
  </si>
  <si>
    <t>缺 password、缺 quantity、page=abc、非法路径ID</t>
  </si>
  <si>
    <t>统一返回400</t>
  </si>
  <si>
    <t>多处返回500</t>
  </si>
  <si>
    <t>ApiSupport.java；Auth/Cart/Order 请求DTO</t>
  </si>
  <si>
    <t>补 @NotNull/@NotBlank 和类型转换异常处理</t>
  </si>
  <si>
    <t>TC-AUTH-007,TC-PROD-012,TC-CART-005,TC-ORDER-012</t>
  </si>
  <si>
    <t>D-004</t>
  </si>
  <si>
    <t>内部接口缺认证头返回500</t>
  </si>
  <si>
    <t>不带 X-Internal-Service/Secret 请求内部订单接口</t>
  </si>
  <si>
    <t>返回401/403</t>
  </si>
  <si>
    <t>MissingRequestHeaderException 被映射为500</t>
  </si>
  <si>
    <t>OrderController.java:164-189；ApiSupport.java:257</t>
  </si>
  <si>
    <t>显式校验头或映射缺头异常</t>
  </si>
  <si>
    <t>待确认加购状态未按 session 隔离</t>
  </si>
  <si>
    <t>定向测试</t>
  </si>
  <si>
    <t>同用户 A 发起加购，B 只发送“确认”</t>
  </si>
  <si>
    <t>B 不继承 A 的待确认动作</t>
  </si>
  <si>
    <t>B 调用 add_to_cart 并写入购物车</t>
  </si>
  <si>
    <t>agent-service/app/main.py:912-929,1528-1532</t>
  </si>
  <si>
    <t>状态键加入 sessionId，补跨会话测试</t>
  </si>
  <si>
    <t>已复现，未修复</t>
  </si>
  <si>
    <t>AI前端</t>
  </si>
  <si>
    <t>换账号后可能保留前一用户聊天</t>
  </si>
  <si>
    <t>Alice 对话后 SPA 登出，再登录 Bob</t>
  </si>
  <si>
    <t>清空消息/session/loadedSessions</t>
  </si>
  <si>
    <t>logout 未重置模块级会话状态</t>
  </si>
  <si>
    <t>useAgentConversation.js:7-16,70-76；store.js:58-66</t>
  </si>
  <si>
    <t>登出时统一 reset Agent 会话状态</t>
  </si>
  <si>
    <t>待浏览器复测</t>
  </si>
  <si>
    <t>Agent 请求 401 不触发统一刷新</t>
  </si>
  <si>
    <t>中</t>
  </si>
  <si>
    <t>Access 过期、Refresh 有效时调用 Agent</t>
  </si>
  <si>
    <t>刷新并重试或跳登录</t>
  </si>
  <si>
    <t>agentApi 和原生 fetch 仅显示通用错误</t>
  </si>
  <si>
    <t>frontend/src/api/http.js:20-67；useAgentConversation.js:121-169</t>
  </si>
  <si>
    <t>复用主 API 单飞 refresh 逻辑</t>
  </si>
  <si>
    <t>搜索</t>
  </si>
  <si>
    <t>搜索结果排序控件无效</t>
  </si>
  <si>
    <t>搜索键盘后切换价格升/降序</t>
  </si>
  <si>
    <t>请求带 sort 且列表变化</t>
  </si>
  <si>
    <t>搜索请求未传 sort，后端固定销量排序</t>
  </si>
  <si>
    <t>ProductListView.vue:280-283,331</t>
  </si>
  <si>
    <t>搜索接口支持 sort 并透传</t>
  </si>
  <si>
    <t>AI工具</t>
  </si>
  <si>
    <t>预算过滤可能漏掉第6名后的商品</t>
  </si>
  <si>
    <t>符合预算商品不在销量前5时搜索</t>
  </si>
  <si>
    <t>返回所有候选中的预算内商品</t>
  </si>
  <si>
    <t>先 size=5 后本地过滤</t>
  </si>
  <si>
    <t>main.py:569-575</t>
  </si>
  <si>
    <t>将 maxPrice 下推后端或扩大后再截断</t>
  </si>
  <si>
    <t>订单合规</t>
  </si>
  <si>
    <t>下单入口没有显式 @Transactional</t>
  </si>
  <si>
    <t>静态审计</t>
  </si>
  <si>
    <t>检查 OrderService create/createDirect</t>
  </si>
  <si>
    <t>符合 AGENTS.md 明确注解要求</t>
  </si>
  <si>
    <t>使用 TransactionTemplate REQUIRES_NEW</t>
  </si>
  <si>
    <t>OrderService.java:51-59,108-112</t>
  </si>
  <si>
    <t>调整事务重试边界并保留显式注解</t>
  </si>
  <si>
    <t>功能正确但合规未满足</t>
  </si>
  <si>
    <t>数据库文档</t>
  </si>
  <si>
    <t>ER 图缺少5张表及部分字段</t>
  </si>
  <si>
    <t>比较 schema.sql 与 er-diagram.md</t>
  </si>
  <si>
    <t>24表全部呈现</t>
  </si>
  <si>
    <t>ER仅19实体，缺coupon等5表</t>
  </si>
  <si>
    <t>ER diagram 与 schema.sql</t>
  </si>
  <si>
    <t>补齐实体、外键、points/discount 字段</t>
  </si>
  <si>
    <t>商品数量口径过期</t>
  </si>
  <si>
    <t>低</t>
  </si>
  <si>
    <t>P3</t>
  </si>
  <si>
    <t>比较 seed.sql 与 database-design.md</t>
  </si>
  <si>
    <t>商品数量一致</t>
  </si>
  <si>
    <t>文档写45，Seed实际60</t>
  </si>
  <si>
    <t>docs/database-design.md:489</t>
  </si>
  <si>
    <t>更新数量并注明测试夹具会增加记录</t>
  </si>
  <si>
    <t>部署合规</t>
  </si>
  <si>
    <t>外部端口与项目规格不一致</t>
  </si>
  <si>
    <t>比较 AGENTS.md 与 Compose</t>
  </si>
  <si>
    <t>backend8080、MySQL3306</t>
  </si>
  <si>
    <t>实际8081和3307</t>
  </si>
  <si>
    <t>docker-compose.yml:15,38</t>
  </si>
  <si>
    <t>统一规格或在验收文档明确批准变更</t>
  </si>
  <si>
    <t>商品对比工具首轮选择间歇失败</t>
  </si>
  <si>
    <t>调查中</t>
  </si>
  <si>
    <t>运行完整 agent_smoke compare 场景</t>
  </si>
  <si>
    <t>首轮内容正确但工具名缺失；复测通过</t>
  </si>
  <si>
    <t>Agent smoke 2026-07-12</t>
  </si>
  <si>
    <t>增强路由约束与确定性测试，允许合理工具组合</t>
  </si>
  <si>
    <t>TC-AI-009,TC-DEP-006</t>
  </si>
  <si>
    <t>同提示3/3及整套重跑通过</t>
  </si>
  <si>
    <t>关键字未 trim</t>
  </si>
  <si>
    <t>按“键盘”处理</t>
  </si>
  <si>
    <t>返回0条</t>
  </si>
  <si>
    <t>ProductController.java:109-118</t>
  </si>
  <si>
    <t>查询前 trim 并补边界测试</t>
  </si>
  <si>
    <t>前端测试</t>
  </si>
  <si>
    <t>无前端自动化测试入口</t>
  </si>
  <si>
    <t>至少登录刷新/结算/路由守卫测试</t>
  </si>
  <si>
    <t>无 test/lint 脚本</t>
  </si>
  <si>
    <t>frontend/package.json</t>
  </si>
  <si>
    <t>引入 Vitest + Vue Test Utils，优先覆盖结算页</t>
  </si>
  <si>
    <t>Agent测试</t>
  </si>
  <si>
    <t>pytest 收集0项</t>
  </si>
  <si>
    <t>python -m pytest agent-service</t>
  </si>
  <si>
    <t>存在确定性工具/记忆/授权测试</t>
  </si>
  <si>
    <t>agent-service</t>
  </si>
  <si>
    <t>用 MockTransport/Mock LLM 补测试</t>
  </si>
  <si>
    <t>前端性能</t>
  </si>
  <si>
    <t>生产包单 chunk 超过500kB</t>
  </si>
  <si>
    <t>已接受</t>
  </si>
  <si>
    <t>运行 npm run build</t>
  </si>
  <si>
    <t>无明显大包告警</t>
  </si>
  <si>
    <t>构建成功但报告 &gt;500kB</t>
  </si>
  <si>
    <t>Vite build 输出</t>
  </si>
  <si>
    <t>按路由拆分 Admin/ECharts/AI 组件</t>
  </si>
  <si>
    <t>不阻断本次功能</t>
  </si>
  <si>
    <t>D-019</t>
  </si>
  <si>
    <t>商品前端</t>
  </si>
  <si>
    <t>详情请求失败可能留下空白页</t>
  </si>
  <si>
    <t>访问404商品或模拟网络失败</t>
  </si>
  <si>
    <t>显示明确错误态</t>
  </si>
  <si>
    <t>首屏请求缺 try/catch</t>
  </si>
  <si>
    <t>ProductDetailView.vue:123-139</t>
  </si>
  <si>
    <t>增加 loading/error/empty 状态</t>
  </si>
  <si>
    <t>未复测</t>
  </si>
  <si>
    <t>B001</t>
  </si>
  <si>
    <t>订单</t>
  </si>
  <si>
    <t>并发库存验收回归</t>
  </si>
  <si>
    <t>已关闭</t>
  </si>
  <si>
    <t>历史缺陷</t>
  </si>
  <si>
    <t>运行100/80并发脚本</t>
  </si>
  <si>
    <t>无超卖</t>
  </si>
  <si>
    <t>三轮均80成功/20库存不足</t>
  </si>
  <si>
    <t>docs/bug-list.md</t>
  </si>
  <si>
    <t>已用 CAS + 重试验证</t>
  </si>
  <si>
    <t>2026-07-11 已关闭</t>
  </si>
  <si>
    <t>B002</t>
  </si>
  <si>
    <t>无LLM密钥不能真实模型调用</t>
  </si>
  <si>
    <t>清空 LLM_API_KEY 调 Agent</t>
  </si>
  <si>
    <t>离线仍可演示</t>
  </si>
  <si>
    <t>规则降级可用</t>
  </si>
  <si>
    <t>保留离线降级并明确演示条件</t>
  </si>
  <si>
    <t>B003</t>
  </si>
  <si>
    <t>预算正则误把任意数字当上限</t>
  </si>
  <si>
    <t>询问“推荐3款键盘”</t>
  </si>
  <si>
    <t>不按3元过滤</t>
  </si>
  <si>
    <t>曾返回空</t>
  </si>
  <si>
    <t>仅预算语境识别金额</t>
  </si>
  <si>
    <t>B004</t>
  </si>
  <si>
    <t>用户</t>
  </si>
  <si>
    <t>资料部分更新覆盖为null</t>
  </si>
  <si>
    <t>只改头像不传phone</t>
  </si>
  <si>
    <t>phone保持</t>
  </si>
  <si>
    <t>曾被清空</t>
  </si>
  <si>
    <t>非空字段才更新</t>
  </si>
  <si>
    <t>B005</t>
  </si>
  <si>
    <t>取消订单库存回补并发安全</t>
  </si>
  <si>
    <t>并发取消/下单</t>
  </si>
  <si>
    <t>库存一致</t>
  </si>
  <si>
    <t>曾存在不一致风险</t>
  </si>
  <si>
    <t>原子 restoreStock</t>
  </si>
  <si>
    <t>B006</t>
  </si>
  <si>
    <t>数量不校验库存</t>
  </si>
  <si>
    <t>反复加购超库存</t>
  </si>
  <si>
    <t>及时拒绝</t>
  </si>
  <si>
    <t>曾到下单才报错</t>
  </si>
  <si>
    <t>add/update 均校验</t>
  </si>
  <si>
    <t>B007</t>
  </si>
  <si>
    <t>LLM正常回复被离线逻辑覆盖</t>
  </si>
  <si>
    <t>模型合理拒答</t>
  </si>
  <si>
    <t>保留模型回复</t>
  </si>
  <si>
    <t>曾被替换</t>
  </si>
  <si>
    <t>仅空回复或缺工具时回落</t>
  </si>
  <si>
    <t>B008</t>
  </si>
  <si>
    <t>加减数量错误无提示</t>
  </si>
  <si>
    <t>点击加号超过库存</t>
  </si>
  <si>
    <t>友好提示</t>
  </si>
  <si>
    <t>曾无提示</t>
  </si>
  <si>
    <t>try/catch + toast</t>
  </si>
  <si>
    <t>B009</t>
  </si>
  <si>
    <t>商品</t>
  </si>
  <si>
    <t>下架商品无法在后台重新上架</t>
  </si>
  <si>
    <t>下架后查看后台</t>
  </si>
  <si>
    <t>仍可管理</t>
  </si>
  <si>
    <t>曾消失</t>
  </si>
  <si>
    <t>新增 admin 列表</t>
  </si>
  <si>
    <t>B010</t>
  </si>
  <si>
    <t>订单前端</t>
  </si>
  <si>
    <t>订单“查看详情”无响应</t>
  </si>
  <si>
    <t>点击查看详情</t>
  </si>
  <si>
    <t>展示详情</t>
  </si>
  <si>
    <t>曾无反应</t>
  </si>
  <si>
    <t>接入摘要/详情</t>
  </si>
  <si>
    <t>B011</t>
  </si>
  <si>
    <t>后端镜像依赖预编译JAR</t>
  </si>
  <si>
    <t>clean checkout 构建</t>
  </si>
  <si>
    <t>镜像内编译</t>
  </si>
  <si>
    <t>曾 no source files</t>
  </si>
  <si>
    <t>多阶段 Maven 构建</t>
  </si>
  <si>
    <t>B012</t>
  </si>
  <si>
    <t>Docker 上下文包含宿主 node_modules</t>
  </si>
  <si>
    <t>构建前端镜像</t>
  </si>
  <si>
    <t>不复制宿主依赖</t>
  </si>
  <si>
    <t>曾覆盖容器依赖</t>
  </si>
  <si>
    <t>增加 .dockerignore</t>
  </si>
  <si>
    <t>B013</t>
  </si>
  <si>
    <t>本地 Agent 后端端口错误</t>
  </si>
  <si>
    <t>本地启动 Agent</t>
  </si>
  <si>
    <t>调用8081</t>
  </si>
  <si>
    <t>曾调用8080失败</t>
  </si>
  <si>
    <t>启动脚本改8081</t>
  </si>
  <si>
    <t>B014</t>
  </si>
  <si>
    <t>Vite dev代理端口错误</t>
  </si>
  <si>
    <t>npm run dev</t>
  </si>
  <si>
    <t>/api代理8081</t>
  </si>
  <si>
    <t>曾代理8080</t>
  </si>
  <si>
    <t>vite.config 更新</t>
  </si>
  <si>
    <t>B015</t>
  </si>
  <si>
    <t>禁用用户仍可刷新且非法Token可能500</t>
  </si>
  <si>
    <t>禁用后refresh/传非法Token</t>
  </si>
  <si>
    <t>统一401</t>
  </si>
  <si>
    <t>曾可刷新或500</t>
  </si>
  <si>
    <t>检查状态并统一异常</t>
  </si>
  <si>
    <t>B016</t>
  </si>
  <si>
    <t>存在弱密钥默认值</t>
  </si>
  <si>
    <t>不设环境变量启动</t>
  </si>
  <si>
    <t>拒绝启动</t>
  </si>
  <si>
    <t>曾有默认值</t>
  </si>
  <si>
    <t>变量必填且JWT&gt;=32字符</t>
  </si>
  <si>
    <t>B017</t>
  </si>
  <si>
    <t>缺少本地图片上传</t>
  </si>
  <si>
    <t>管理员上传PNG</t>
  </si>
  <si>
    <t>201并可读取</t>
  </si>
  <si>
    <t>曾仅支持URL</t>
  </si>
  <si>
    <t>新增上传接口与静态映射</t>
  </si>
  <si>
    <t>基线来自 docs/seed.sql；运行脚本生成的数据与 Seed 分开记录，避免误认为干净基线</t>
  </si>
  <si>
    <t>1. Seed 账号</t>
  </si>
  <si>
    <t>用户ID</t>
  </si>
  <si>
    <t>用户名</t>
  </si>
  <si>
    <t>手机号</t>
  </si>
  <si>
    <t>初始积分</t>
  </si>
  <si>
    <t>密码哈希</t>
  </si>
  <si>
    <t>明文测试密码</t>
  </si>
  <si>
    <t>$2a$10$...</t>
  </si>
  <si>
    <t>管理权限</t>
  </si>
  <si>
    <t>购物/订单/偏好</t>
  </si>
  <si>
    <t>隔离测试</t>
  </si>
  <si>
    <t>2. 分类基线（20个分类节点）</t>
  </si>
  <si>
    <t>ID</t>
  </si>
  <si>
    <t>分类名称</t>
  </si>
  <si>
    <t>父级ID</t>
  </si>
  <si>
    <t>层级</t>
  </si>
  <si>
    <t>排序</t>
  </si>
  <si>
    <t>数码电子</t>
  </si>
  <si>
    <t>一级</t>
  </si>
  <si>
    <t>电脑办公</t>
  </si>
  <si>
    <t>家居生活</t>
  </si>
  <si>
    <t>键盘鼠标</t>
  </si>
  <si>
    <t>二级</t>
  </si>
  <si>
    <t>手机配件</t>
  </si>
  <si>
    <t>智能家居</t>
  </si>
  <si>
    <t>服饰鞋包</t>
  </si>
  <si>
    <t>美妆个护</t>
  </si>
  <si>
    <t>运动户外</t>
  </si>
  <si>
    <t>图书文创</t>
  </si>
  <si>
    <t>厨房餐具</t>
  </si>
  <si>
    <t>母婴用品</t>
  </si>
  <si>
    <t>男装女装</t>
  </si>
  <si>
    <t>鞋靴箱包</t>
  </si>
  <si>
    <t>护肤彩妆</t>
  </si>
  <si>
    <t>个人护理</t>
  </si>
  <si>
    <t>健身装备</t>
  </si>
  <si>
    <t>户外露营</t>
  </si>
  <si>
    <t>技术图书</t>
  </si>
  <si>
    <t>文具手账</t>
  </si>
  <si>
    <t>3. 代表性商品基线</t>
  </si>
  <si>
    <t>商品ID</t>
  </si>
  <si>
    <t>分类ID</t>
  </si>
  <si>
    <t>商品名称</t>
  </si>
  <si>
    <t>价格</t>
  </si>
  <si>
    <t>库存</t>
  </si>
  <si>
    <t>销量</t>
  </si>
  <si>
    <t>版本</t>
  </si>
  <si>
    <t>测试用途</t>
  </si>
  <si>
    <t>极客机械键盘 K87</t>
  </si>
  <si>
    <t>上架</t>
  </si>
  <si>
    <t>搜索/AI/订单快照</t>
  </si>
  <si>
    <t>静音办公机械键盘</t>
  </si>
  <si>
    <t>AI 对比/预算</t>
  </si>
  <si>
    <t>电竞鼠标 M9</t>
  </si>
  <si>
    <t>销量排序</t>
  </si>
  <si>
    <t>27 英寸 4K 显示器</t>
  </si>
  <si>
    <t>高价边界</t>
  </si>
  <si>
    <t>轻薄办公笔记本</t>
  </si>
  <si>
    <t>降噪蓝牙耳机</t>
  </si>
  <si>
    <t>通用搜索</t>
  </si>
  <si>
    <t>运动智能手表</t>
  </si>
  <si>
    <t>分类过滤</t>
  </si>
  <si>
    <t>65W 氮化镓充电器</t>
  </si>
  <si>
    <t>购物车预置</t>
  </si>
  <si>
    <t>编织数据线套装</t>
  </si>
  <si>
    <t>首页热销</t>
  </si>
  <si>
    <t>智能台灯 Pro</t>
  </si>
  <si>
    <t>描述搜索</t>
  </si>
  <si>
    <t>智能插座 Mini</t>
  </si>
  <si>
    <t>分页/排序</t>
  </si>
  <si>
    <t>人体工学椅</t>
  </si>
  <si>
    <t>库存边界</t>
  </si>
  <si>
    <t>升降电脑桌</t>
  </si>
  <si>
    <t>低库存</t>
  </si>
  <si>
    <t>热插拔客制化键盘</t>
  </si>
  <si>
    <t>长期偏好</t>
  </si>
  <si>
    <t>入门薄膜键盘</t>
  </si>
  <si>
    <t>预算敏感</t>
  </si>
  <si>
    <t>便携蓝牙音箱</t>
  </si>
  <si>
    <t>通用商品</t>
  </si>
  <si>
    <t>USB-C 扩展坞</t>
  </si>
  <si>
    <t>桌面收纳架</t>
  </si>
  <si>
    <t>描述命中“键盘”</t>
  </si>
  <si>
    <t>扫地机器人 Lite</t>
  </si>
  <si>
    <t>磁吸充电宝</t>
  </si>
  <si>
    <t>抢购测试商品</t>
  </si>
  <si>
    <t>100/80并发基线</t>
  </si>
  <si>
    <t>4. 边界与异常数据</t>
  </si>
  <si>
    <t>数据集ID</t>
  </si>
  <si>
    <t>对象</t>
  </si>
  <si>
    <t>输入</t>
  </si>
  <si>
    <t>边界/等价类</t>
  </si>
  <si>
    <t>期望</t>
  </si>
  <si>
    <t>TD-B001</t>
  </si>
  <si>
    <t>注册密码</t>
  </si>
  <si>
    <t>12345</t>
  </si>
  <si>
    <t>长度&lt;6</t>
  </si>
  <si>
    <t>400</t>
  </si>
  <si>
    <t>TD-B002</t>
  </si>
  <si>
    <t>缺失字段</t>
  </si>
  <si>
    <t>Null</t>
  </si>
  <si>
    <t>400（当前500）</t>
  </si>
  <si>
    <t>TD-B003</t>
  </si>
  <si>
    <t>登录密码</t>
  </si>
  <si>
    <t>wrong-password</t>
  </si>
  <si>
    <t>错误凭证</t>
  </si>
  <si>
    <t>401统一文案</t>
  </si>
  <si>
    <t>TD-B004</t>
  </si>
  <si>
    <t>页码</t>
  </si>
  <si>
    <t>999</t>
  </si>
  <si>
    <t>超过最大页</t>
  </si>
  <si>
    <t>200空列表</t>
  </si>
  <si>
    <t>TD-B005</t>
  </si>
  <si>
    <t>abc</t>
  </si>
  <si>
    <t>非法类型</t>
  </si>
  <si>
    <t>TD-B006</t>
  </si>
  <si>
    <t>搜索词</t>
  </si>
  <si>
    <t>键盘</t>
  </si>
  <si>
    <t>正常中文</t>
  </si>
  <si>
    <t>命中5条</t>
  </si>
  <si>
    <t>TD-B007</t>
  </si>
  <si>
    <t>“ 键盘 ”</t>
  </si>
  <si>
    <t>前后空格</t>
  </si>
  <si>
    <t>trim后命中（当前0）</t>
  </si>
  <si>
    <t>TD-B008</t>
  </si>
  <si>
    <t>商品价格</t>
  </si>
  <si>
    <t>0</t>
  </si>
  <si>
    <t>非正数</t>
  </si>
  <si>
    <t>TD-B009</t>
  </si>
  <si>
    <t>商品库存</t>
  </si>
  <si>
    <t>-1</t>
  </si>
  <si>
    <t>负数</t>
  </si>
  <si>
    <t>TD-B010</t>
  </si>
  <si>
    <t>购物数量</t>
  </si>
  <si>
    <t>0/-1</t>
  </si>
  <si>
    <t>非法数量</t>
  </si>
  <si>
    <t>TD-B011</t>
  </si>
  <si>
    <t>缺失</t>
  </si>
  <si>
    <t>TD-B012</t>
  </si>
  <si>
    <t>并发</t>
  </si>
  <si>
    <t>100请求/80库存</t>
  </si>
  <si>
    <t>竞争边界</t>
  </si>
  <si>
    <t>80成功、20不足</t>
  </si>
  <si>
    <t>TD-B013</t>
  </si>
  <si>
    <t>Agent预算</t>
  </si>
  <si>
    <t>500</t>
  </si>
  <si>
    <t>预算语义</t>
  </si>
  <si>
    <t>仅推荐&lt;=500</t>
  </si>
  <si>
    <t>TD-B014</t>
  </si>
  <si>
    <t>Agent问题</t>
  </si>
  <si>
    <t>今天天气怎么样</t>
  </si>
  <si>
    <t>非购物域</t>
  </si>
  <si>
    <t>礼貌拒答</t>
  </si>
  <si>
    <t>5. 本轮运行夹具与结果</t>
  </si>
  <si>
    <t>标识</t>
  </si>
  <si>
    <t>用户/商品/订单</t>
  </si>
  <si>
    <t>关键输入</t>
  </si>
  <si>
    <t>最终状态</t>
  </si>
  <si>
    <t>用途/保留策略</t>
  </si>
  <si>
    <t>隔离订单</t>
  </si>
  <si>
    <t>运行态 smoke</t>
  </si>
  <si>
    <t>userId=9 / productId=21 / orderId=377</t>
  </si>
  <si>
    <t>数量1、地址测试</t>
  </si>
  <si>
    <t>订单 CANCELLED，库存80</t>
  </si>
  <si>
    <t>验证创建、非法确认、取消和回补；保留证据</t>
  </si>
  <si>
    <t>并发轮次</t>
  </si>
  <si>
    <t>1783841014-1-dcd4daa502</t>
  </si>
  <si>
    <t>userId=10 / productId=66 / 80订单</t>
  </si>
  <si>
    <t>100请求、库存80</t>
  </si>
  <si>
    <t>验证无超卖；脚本策略保留</t>
  </si>
  <si>
    <t>Agent偏好</t>
  </si>
  <si>
    <t>机械键盘、预算敏感、办公学习</t>
  </si>
  <si>
    <t>跨新session</t>
  </si>
  <si>
    <t>weight=2.0</t>
  </si>
  <si>
    <t>验证长期记忆</t>
  </si>
  <si>
    <t>Agent对比</t>
  </si>
  <si>
    <t>商品1与2</t>
  </si>
  <si>
    <t>K87 / 静音办公键盘</t>
  </si>
  <si>
    <t>真实模型</t>
  </si>
  <si>
    <t>首轮工具名遗漏，复测通过</t>
  </si>
  <si>
    <t>记录非确定性风险</t>
  </si>
  <si>
    <t>智能商城测试报告</t>
  </si>
  <si>
    <t>测试日期 2026-07-12；统计由“测试用例”和“缺陷登记”公式联动</t>
  </si>
  <si>
    <t>用例总数</t>
  </si>
  <si>
    <t>严格通过率</t>
  </si>
  <si>
    <t>阻断未关闭</t>
  </si>
  <si>
    <t>高严重度未关闭</t>
  </si>
  <si>
    <t>准出结论</t>
  </si>
  <si>
    <t>不通过</t>
  </si>
  <si>
    <t>1. 模块执行概览</t>
  </si>
  <si>
    <t>用例数</t>
  </si>
  <si>
    <t>阻塞</t>
  </si>
  <si>
    <t>通过率</t>
  </si>
  <si>
    <t>注册、JWT、权限</t>
  </si>
  <si>
    <t>分页、搜索、校验</t>
  </si>
  <si>
    <t>数量、库存、前端合计</t>
  </si>
  <si>
    <t>事务、状态机、100/80并发</t>
  </si>
  <si>
    <t>工具、订单、记忆、隔离</t>
  </si>
  <si>
    <t>Compose、构建、Schema、文档</t>
  </si>
  <si>
    <t>2. 关键执行证据</t>
  </si>
  <si>
    <t>检查项</t>
  </si>
  <si>
    <t>实际证据</t>
  </si>
  <si>
    <t>判定</t>
  </si>
  <si>
    <t>30 tests / 0 failures / 0 errors</t>
  </si>
  <si>
    <t>9个 Surefire 套件全部通过</t>
  </si>
  <si>
    <t>2328 modules</t>
  </si>
  <si>
    <t>构建成功；存在 &gt;500kB chunk 警告</t>
  </si>
  <si>
    <t>通过（有风险）</t>
  </si>
  <si>
    <t>Docker Compose</t>
  </si>
  <si>
    <t>frontend80、backend8081、agent8000、mysql3307</t>
  </si>
  <si>
    <t>并发库存</t>
  </si>
  <si>
    <t>100请求 / 80库存</t>
  </si>
  <si>
    <t>成功80、库存不足20、unexpected0、stock0、sales80、version80</t>
  </si>
  <si>
    <t>整套重跑通过</t>
  </si>
  <si>
    <t>商品、方案、详情、对比、订单、记忆、加购、拒答</t>
  </si>
  <si>
    <t>通过（首轮不稳定）</t>
  </si>
  <si>
    <t>浏览器主链路</t>
  </si>
  <si>
    <t>登录/搜索/购物车/订单/AI可用</t>
  </si>
  <si>
    <t>结算页因 reactive 未导入空白</t>
  </si>
  <si>
    <t>数据库/文档</t>
  </si>
  <si>
    <t>Schema 24表、Seed 60商品</t>
  </si>
  <si>
    <t>ER少5表，数据库设计数量过期</t>
  </si>
  <si>
    <t>3. 主要缺陷与风险</t>
  </si>
  <si>
    <t>级别</t>
  </si>
  <si>
    <t>问题</t>
  </si>
  <si>
    <t>影响</t>
  </si>
  <si>
    <t>当前处置</t>
  </si>
  <si>
    <t>发布建议</t>
  </si>
  <si>
    <t>结算页 reactive 未导入</t>
  </si>
  <si>
    <t>购物车结算和立即购买主链路不可用</t>
  </si>
  <si>
    <t>D-001 新建</t>
  </si>
  <si>
    <t>必须修复并浏览器复测</t>
  </si>
  <si>
    <t>Agent 待确认加购跨 session</t>
  </si>
  <si>
    <t>可能在错误会话执行写操作</t>
  </si>
  <si>
    <t>D-005 新建</t>
  </si>
  <si>
    <t>必须隔离并补确定性测试</t>
  </si>
  <si>
    <t>换账号聊天状态未清理</t>
  </si>
  <si>
    <t>存在跨用户可见性/隐私风险</t>
  </si>
  <si>
    <t>D-006 新建</t>
  </si>
  <si>
    <t>必须在 logout reset</t>
  </si>
  <si>
    <t>缺失/非法参数返回500</t>
  </si>
  <si>
    <t>暴露服务内部错误且不符合接口规范</t>
  </si>
  <si>
    <t>D-003 新建</t>
  </si>
  <si>
    <t>统一校验和400映射</t>
  </si>
  <si>
    <t>真实模型工具选择非确定性</t>
  </si>
  <si>
    <t>答辩脚本可能偶发失败</t>
  </si>
  <si>
    <t>D-014 调查中</t>
  </si>
  <si>
    <t>约束路由并保留重试/证据</t>
  </si>
  <si>
    <t>ER和端口与规格不一致</t>
  </si>
  <si>
    <t>静态验收或答辩可能扣分</t>
  </si>
  <si>
    <t>D-011/D-013</t>
  </si>
  <si>
    <t>修正文档或统一配置</t>
  </si>
  <si>
    <t>未从全新 MySQL 卷重建</t>
  </si>
  <si>
    <t>一键启动的干净环境复现尚未验证</t>
  </si>
  <si>
    <t>用例未执行</t>
  </si>
  <si>
    <t>答辩前使用隔离卷补测</t>
  </si>
  <si>
    <t>4. 结论与复测门槛</t>
  </si>
  <si>
    <t>当前结论</t>
  </si>
  <si>
    <t>不通过：核心后端、并发与AI能力基本可用，但结算主链路存在阻断缺陷，且有两项高严重度会话隔离问题。</t>
  </si>
  <si>
    <t>修复优先级</t>
  </si>
  <si>
    <t>P0：D-001；P1：D-002/D-003/D-004/D-005/D-006；其余按答辩风险排序。</t>
  </si>
  <si>
    <t>必须复测</t>
  </si>
  <si>
    <t>购物车结算、立即购买、创建并支付订单；Alice/Bob 聊天隔离；跨 session 加购确认；异常参数400。</t>
  </si>
  <si>
    <t>回归要求</t>
  </si>
  <si>
    <t>后端30测试保持全绿；100/80并发再次得到80/20；Agent完整烟测连续通过；四服务保持healthy。</t>
  </si>
  <si>
    <t>准出条件</t>
  </si>
  <si>
    <t>阻断和高严重度缺陷全部关闭；五大模块浏览器主链路可演示；全新数据卷启动验证通过。</t>
  </si>
</sst>
</file>

<file path=xl/styles.xml><?xml version="1.0" encoding="utf-8"?>
<styleSheet xmlns="http://schemas.openxmlformats.org/spreadsheetml/2006/main">
  <numFmts count="3">
    <numFmt numFmtId="164" formatCode="¥#,##0.00"/>
    <numFmt numFmtId="165" formatCode="yyyy-mm-dd"/>
    <numFmt numFmtId="166" formatCode="0.0%"/>
  </numFmts>
  <fonts count="21">
    <font>
      <sz val="11.0"/>
      <color indexed="8"/>
      <name val="Calibri"/>
      <family val="2"/>
      <scheme val="minor"/>
    </font>
    <font>
      <name val="Microsoft YaHei"/>
      <sz val="18.0"/>
      <b val="true"/>
      <color rgb="FFFFFFFF"/>
    </font>
    <font>
      <name val="Microsoft YaHei"/>
      <sz val="10.0"/>
      <color rgb="FF5B6670"/>
    </font>
    <font>
      <name val="Microsoft YaHei"/>
      <sz val="12.0"/>
      <b val="true"/>
      <color rgb="FFFFFFFF"/>
    </font>
    <font>
      <name val="Microsoft YaHei"/>
      <sz val="10.0"/>
      <b val="true"/>
      <color rgb="FFFFFFFF"/>
    </font>
    <font>
      <name val="Microsoft YaHei"/>
      <sz val="10.0"/>
      <color rgb="FF1F2937"/>
    </font>
    <font>
      <name val="Microsoft YaHei"/>
      <sz val="10.0"/>
      <color rgb="FF1F2937"/>
    </font>
    <font>
      <name val="Microsoft YaHei"/>
      <sz val="10.0"/>
      <b val="true"/>
      <color rgb="FF0F766E"/>
    </font>
    <font>
      <name val="Microsoft YaHei"/>
      <sz val="10.0"/>
      <color rgb="FF1F2937"/>
    </font>
    <font>
      <name val="Microsoft YaHei"/>
      <sz val="10.0"/>
      <color rgb="FF1F2937"/>
    </font>
    <font>
      <name val="Microsoft YaHei"/>
      <sz val="10.0"/>
      <b val="true"/>
      <color rgb="FF166534"/>
    </font>
    <font>
      <name val="Microsoft YaHei"/>
      <sz val="10.0"/>
      <b val="true"/>
      <color rgb="FF991B1B"/>
    </font>
    <font>
      <name val="Microsoft YaHei"/>
      <sz val="10.0"/>
      <b val="true"/>
      <color rgb="FF92400E"/>
    </font>
    <font>
      <name val="Microsoft YaHei"/>
      <sz val="10.0"/>
      <b val="true"/>
      <color rgb="FF4B5563"/>
    </font>
    <font>
      <name val="Microsoft YaHei"/>
      <sz val="10.0"/>
      <color rgb="FF1F2937"/>
    </font>
    <font>
      <name val="Microsoft YaHei"/>
      <sz val="10.0"/>
      <color rgb="FF1F2937"/>
    </font>
    <font>
      <name val="Microsoft YaHei"/>
      <sz val="10.0"/>
      <color rgb="FF1F2937"/>
    </font>
    <font>
      <name val="Microsoft YaHei"/>
      <sz val="10.0"/>
      <color rgb="FF1F2937"/>
    </font>
    <font>
      <name val="Microsoft YaHei"/>
      <sz val="10.0"/>
      <b val="true"/>
      <color rgb="FF17324D"/>
    </font>
    <font>
      <name val="Microsoft YaHei"/>
      <sz val="16.0"/>
      <b val="true"/>
      <color rgb="FF17324D"/>
    </font>
    <font>
      <name val="Microsoft YaHei"/>
      <sz val="16.0"/>
      <b val="true"/>
      <color rgb="FF17324D"/>
    </font>
  </fonts>
  <fills count="26">
    <fill>
      <patternFill patternType="none"/>
    </fill>
    <fill>
      <patternFill patternType="darkGray"/>
    </fill>
    <fill>
      <patternFill patternType="none">
        <fgColor rgb="FF17324D"/>
      </patternFill>
    </fill>
    <fill>
      <patternFill patternType="solid">
        <fgColor rgb="FF17324D"/>
      </patternFill>
    </fill>
    <fill>
      <patternFill patternType="none">
        <fgColor rgb="FFEAF2F7"/>
      </patternFill>
    </fill>
    <fill>
      <patternFill patternType="solid">
        <fgColor rgb="FFEAF2F7"/>
      </patternFill>
    </fill>
    <fill>
      <patternFill patternType="none">
        <fgColor rgb="FF0F766E"/>
      </patternFill>
    </fill>
    <fill>
      <patternFill patternType="solid">
        <fgColor rgb="FF0F766E"/>
      </patternFill>
    </fill>
    <fill>
      <patternFill patternType="none">
        <fgColor rgb="FF254C5B"/>
      </patternFill>
    </fill>
    <fill>
      <patternFill patternType="solid">
        <fgColor rgb="FF254C5B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7FAFC"/>
      </patternFill>
    </fill>
    <fill>
      <patternFill patternType="solid">
        <fgColor rgb="FFF7FAFC"/>
      </patternFill>
    </fill>
    <fill>
      <patternFill patternType="none">
        <fgColor rgb="FFE7F5F3"/>
      </patternFill>
    </fill>
    <fill>
      <patternFill patternType="solid">
        <fgColor rgb="FFE7F5F3"/>
      </patternFill>
    </fill>
    <fill>
      <patternFill patternType="none">
        <fgColor rgb="FFFFF8E8"/>
      </patternFill>
    </fill>
    <fill>
      <patternFill patternType="solid">
        <fgColor rgb="FFFFF8E8"/>
      </patternFill>
    </fill>
    <fill>
      <patternFill patternType="none">
        <fgColor rgb="FFDCFCE7"/>
      </patternFill>
    </fill>
    <fill>
      <patternFill patternType="solid">
        <fgColor rgb="FFDCFCE7"/>
      </patternFill>
    </fill>
    <fill>
      <patternFill patternType="none">
        <fgColor rgb="FFFEE2E2"/>
      </patternFill>
    </fill>
    <fill>
      <patternFill patternType="solid">
        <fgColor rgb="FFFEE2E2"/>
      </patternFill>
    </fill>
    <fill>
      <patternFill patternType="none">
        <fgColor rgb="FFFEF3C7"/>
      </patternFill>
    </fill>
    <fill>
      <patternFill patternType="solid">
        <fgColor rgb="FFFEF3C7"/>
      </patternFill>
    </fill>
    <fill>
      <patternFill patternType="none">
        <fgColor rgb="FFF3F4F6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FFD8E1E8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3" borderId="2" xfId="0" applyFill="true" applyAlignment="true" applyBorder="true" applyFont="true">
      <alignment horizontal="left" vertical="center" wrapText="true"/>
    </xf>
    <xf numFmtId="0" fontId="2" fillId="5" borderId="2" xfId="0" applyFill="true" applyAlignment="true" applyBorder="true" applyFont="true">
      <alignment horizontal="left" vertical="center" wrapText="true"/>
    </xf>
    <xf numFmtId="0" fontId="3" fillId="7" borderId="2" xfId="0" applyFill="true" applyAlignment="true" applyBorder="true" applyFont="true">
      <alignment horizontal="left" vertical="center" wrapText="false"/>
    </xf>
    <xf numFmtId="0" fontId="4" fillId="9" borderId="2" xfId="0" applyFill="true" applyAlignment="true" applyBorder="true" applyFont="true">
      <alignment horizontal="center" vertical="center" wrapText="true"/>
    </xf>
    <xf numFmtId="0" fontId="5" fillId="11" borderId="2" xfId="0" applyFill="true" applyAlignment="true" applyBorder="true" applyFont="true">
      <alignment horizontal="left" vertical="center" wrapText="true"/>
    </xf>
    <xf numFmtId="0" fontId="6" fillId="13" borderId="2" xfId="0" applyFill="true" applyAlignment="true" applyBorder="true" applyFont="true">
      <alignment horizontal="left" vertical="center" wrapText="true"/>
    </xf>
    <xf numFmtId="0" fontId="7" fillId="15" borderId="2" xfId="0" applyFill="true" applyAlignment="true" applyBorder="true" applyFont="true">
      <alignment horizontal="left" vertical="center" wrapText="true"/>
    </xf>
    <xf numFmtId="0" fontId="8" fillId="11" borderId="2" xfId="0" applyFill="true" applyAlignment="true" applyBorder="true" applyFont="true">
      <alignment horizontal="left" vertical="center" wrapText="true"/>
    </xf>
    <xf numFmtId="0" fontId="9" fillId="17" borderId="2" xfId="0" applyFill="true" applyAlignment="true" applyBorder="true" applyFont="true">
      <alignment horizontal="left" vertical="center" wrapText="true"/>
    </xf>
    <xf numFmtId="0" fontId="10" fillId="19" borderId="2" xfId="0" applyFill="true" applyAlignment="true" applyBorder="true" applyFont="true">
      <alignment horizontal="center" vertical="center" wrapText="true"/>
    </xf>
    <xf numFmtId="0" fontId="11" fillId="21" borderId="2" xfId="0" applyFill="true" applyAlignment="true" applyBorder="true" applyFont="true">
      <alignment horizontal="center" vertical="center" wrapText="true"/>
    </xf>
    <xf numFmtId="0" fontId="12" fillId="23" borderId="2" xfId="0" applyFill="true" applyAlignment="true" applyBorder="true" applyFont="true">
      <alignment horizontal="center" vertical="center" wrapText="true"/>
    </xf>
    <xf numFmtId="0" fontId="13" fillId="25" borderId="2" xfId="0" applyFill="true" applyAlignment="true" applyBorder="true" applyFont="true">
      <alignment horizontal="center" vertical="center" wrapText="true"/>
    </xf>
    <xf numFmtId="3" fontId="14" fillId="11" borderId="2" xfId="0" applyFill="true" applyAlignment="true" applyBorder="true" applyFont="true" applyNumberFormat="true">
      <alignment horizontal="right" vertical="center" wrapText="false"/>
    </xf>
    <xf numFmtId="164" fontId="15" fillId="11" borderId="2" xfId="0" applyFill="true" applyAlignment="true" applyBorder="true" applyFont="true" applyNumberFormat="true">
      <alignment horizontal="right" vertical="center" wrapText="false"/>
    </xf>
    <xf numFmtId="165" fontId="16" fillId="11" borderId="2" xfId="0" applyFill="true" applyAlignment="true" applyBorder="true" applyFont="true" applyNumberFormat="true">
      <alignment horizontal="center" vertical="center" wrapText="false"/>
    </xf>
    <xf numFmtId="166" fontId="17" fillId="11" borderId="2" xfId="0" applyFill="true" applyAlignment="true" applyBorder="true" applyFont="true" applyNumberFormat="true">
      <alignment horizontal="right" vertical="center" wrapText="false"/>
    </xf>
    <xf numFmtId="0" fontId="18" fillId="5" borderId="2" xfId="0" applyFill="true" applyAlignment="true" applyBorder="true" applyFont="true">
      <alignment horizontal="left" vertical="center" wrapText="true"/>
    </xf>
    <xf numFmtId="3" fontId="19" fillId="11" borderId="2" xfId="0" applyFill="true" applyAlignment="true" applyBorder="true" applyFont="true" applyNumberFormat="true">
      <alignment horizontal="right" vertical="center" wrapText="false"/>
    </xf>
    <xf numFmtId="166" fontId="20" fillId="11" borderId="2" xfId="0" applyFill="true" applyAlignment="true" applyBorder="true" applyFont="true" applyNumberFormat="true">
      <alignment horizontal="right" vertical="center" wrapText="false"/>
    </xf>
  </cellXfs>
  <dxfs count="9">
    <dxf>
      <font>
        <color indexed="0"/>
      </font>
      <fill>
        <patternFill patternType="solid">
          <fgColor indexed="0"/>
        </patternFill>
      </fill>
    </dxf>
    <dxf>
      <font>
        <color indexed="0"/>
      </font>
      <fill>
        <patternFill patternType="solid">
          <fgColor indexed="0"/>
        </patternFill>
      </fill>
    </dxf>
    <dxf>
      <font>
        <color indexed="0"/>
      </font>
      <fill>
        <patternFill patternType="solid">
          <fgColor indexed="0"/>
        </patternFill>
      </fill>
    </dxf>
    <dxf>
      <font>
        <color indexed="0"/>
      </font>
      <fill>
        <patternFill patternType="solid">
          <fgColor indexed="0"/>
        </patternFill>
      </fill>
    </dxf>
    <dxf>
      <font>
        <color indexed="0"/>
      </font>
      <fill>
        <patternFill patternType="solid">
          <fgColor indexed="0"/>
        </patternFill>
      </fill>
    </dxf>
    <dxf>
      <font>
        <color indexed="0"/>
      </font>
      <fill>
        <patternFill patternType="solid">
          <fgColor indexed="0"/>
        </patternFill>
      </fill>
    </dxf>
    <dxf>
      <font>
        <color indexed="0"/>
      </font>
      <fill>
        <patternFill patternType="solid">
          <fgColor indexed="0"/>
        </patternFill>
      </fill>
    </dxf>
    <dxf>
      <font>
        <color indexed="0"/>
      </font>
      <fill>
        <patternFill patternType="solid">
          <fgColor indexed="0"/>
        </patternFill>
      </fill>
    </dxf>
    <dxf>
      <font>
        <color indexed="0"/>
      </font>
      <fill>
        <patternFill patternType="solid">
          <fgColor indexed="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tabColor rgb="FF0F766E"/>
    <pageSetUpPr fitToPage="true" autoPageBreaks="true"/>
  </sheetPr>
  <dimension ref="A1:H47"/>
  <sheetViews>
    <sheetView workbookViewId="0" tabSelected="true" showGridLines="false" zoomScale="90">
      <pane ySplit="3.0" state="frozen" topLeftCell="A4" activePane="bottomLeft"/>
      <selection pane="bottomLeft"/>
    </sheetView>
  </sheetViews>
  <sheetFormatPr defaultRowHeight="15.0"/>
  <cols>
    <col min="1" max="1" width="16.0" customWidth="true"/>
    <col min="2" max="2" width="22.0" customWidth="true"/>
    <col min="3" max="3" width="25.0" customWidth="true"/>
    <col min="4" max="4" width="28.0" customWidth="true"/>
    <col min="5" max="5" width="28.0" customWidth="true"/>
    <col min="6" max="6" width="28.0" customWidth="true"/>
    <col min="7" max="7" width="22.0" customWidth="true"/>
    <col min="8" max="8" width="22.0" customWidth="true"/>
  </cols>
  <sheetData>
    <row r="1" ht="34.0" customHeight="true">
      <c r="A1" s="1" t="s">
        <v>0</v>
      </c>
      <c r="B1" s="1"/>
      <c r="C1" s="1"/>
      <c r="D1" s="1"/>
      <c r="E1" s="1"/>
      <c r="F1" s="1"/>
      <c r="G1" s="1"/>
      <c r="H1" s="1"/>
    </row>
    <row r="2" ht="30.0" customHeight="true">
      <c r="A2" s="2" t="s">
        <v>1</v>
      </c>
      <c r="B2" s="2"/>
      <c r="C2" s="2"/>
      <c r="D2" s="2"/>
      <c r="E2" s="2"/>
      <c r="F2" s="2"/>
      <c r="G2" s="2"/>
      <c r="H2" s="2"/>
    </row>
    <row r="4" ht="27.0" customHeight="true">
      <c r="A4" s="3" t="s">
        <v>2</v>
      </c>
      <c r="B4" s="3"/>
      <c r="C4" s="3"/>
      <c r="D4" s="3"/>
      <c r="E4" s="3"/>
      <c r="F4" s="3"/>
      <c r="G4" s="3"/>
      <c r="H4" s="3"/>
    </row>
    <row r="5" ht="30.0" customHeight="true">
      <c r="A5" t="s" s="7">
        <v>3</v>
      </c>
      <c r="B5" s="8" t="s">
        <v>4</v>
      </c>
      <c r="C5" s="8"/>
      <c r="D5" s="8"/>
      <c r="E5" t="s" s="7">
        <v>5</v>
      </c>
      <c r="F5" s="8" t="s">
        <v>6</v>
      </c>
      <c r="G5" s="8"/>
      <c r="H5" s="8"/>
    </row>
    <row r="6" ht="30.0" customHeight="true">
      <c r="A6" t="s" s="7">
        <v>7</v>
      </c>
      <c r="B6" s="8" t="s">
        <v>8</v>
      </c>
      <c r="C6" s="8"/>
      <c r="D6" s="8"/>
      <c r="E6" t="s" s="7">
        <v>9</v>
      </c>
      <c r="F6" s="8" t="s">
        <v>10</v>
      </c>
      <c r="G6" s="8"/>
      <c r="H6" s="8"/>
    </row>
    <row r="7" ht="30.0" customHeight="true">
      <c r="A7" t="s" s="7">
        <v>11</v>
      </c>
      <c r="B7" s="8" t="s">
        <v>12</v>
      </c>
      <c r="C7" s="8"/>
      <c r="D7" s="8"/>
      <c r="E7" t="s" s="7">
        <v>13</v>
      </c>
      <c r="F7" s="8" t="s">
        <v>14</v>
      </c>
      <c r="G7" s="8"/>
      <c r="H7" s="8"/>
    </row>
    <row r="8" ht="30.0" customHeight="true">
      <c r="A8" t="s" s="7">
        <v>15</v>
      </c>
      <c r="B8" s="8" t="s">
        <v>16</v>
      </c>
      <c r="C8" s="8"/>
      <c r="D8" s="8"/>
      <c r="E8" t="s" s="7">
        <v>17</v>
      </c>
      <c r="F8" s="8" t="s">
        <v>18</v>
      </c>
      <c r="G8" s="8"/>
      <c r="H8" s="8"/>
    </row>
    <row r="10" ht="27.0" customHeight="true">
      <c r="A10" s="3" t="s">
        <v>19</v>
      </c>
      <c r="B10" s="3"/>
      <c r="C10" s="3"/>
      <c r="D10" s="3"/>
      <c r="E10" s="3"/>
      <c r="F10" s="3"/>
      <c r="G10" s="3"/>
      <c r="H10" s="3"/>
    </row>
    <row r="11" ht="32.0" customHeight="true">
      <c r="A11" t="s" s="4">
        <v>20</v>
      </c>
      <c r="B11" t="s" s="4">
        <v>21</v>
      </c>
      <c r="C11" t="s" s="4">
        <v>22</v>
      </c>
      <c r="D11" t="s" s="4">
        <v>23</v>
      </c>
      <c r="E11" t="s" s="4">
        <v>24</v>
      </c>
    </row>
    <row r="12" ht="48.0" customHeight="true">
      <c r="A12" t="s" s="5">
        <v>25</v>
      </c>
      <c r="B12" t="s" s="5">
        <v>26</v>
      </c>
      <c r="C12" t="s" s="5">
        <v>27</v>
      </c>
      <c r="D12" t="s" s="5">
        <v>28</v>
      </c>
      <c r="E12" t="s" s="5">
        <v>29</v>
      </c>
    </row>
    <row r="13" ht="38.0" customHeight="true">
      <c r="A13" t="s" s="6">
        <v>25</v>
      </c>
      <c r="B13" t="s" s="6">
        <v>30</v>
      </c>
      <c r="C13" t="s" s="6">
        <v>31</v>
      </c>
      <c r="D13" t="s" s="6">
        <v>32</v>
      </c>
      <c r="E13" t="s" s="6">
        <v>33</v>
      </c>
    </row>
    <row r="14" ht="38.0" customHeight="true">
      <c r="A14" t="s" s="5">
        <v>25</v>
      </c>
      <c r="B14" t="s" s="5">
        <v>34</v>
      </c>
      <c r="C14" t="s" s="5">
        <v>35</v>
      </c>
      <c r="D14" t="s" s="5">
        <v>36</v>
      </c>
      <c r="E14" t="s" s="5">
        <v>37</v>
      </c>
    </row>
    <row r="15" ht="38.0" customHeight="true">
      <c r="A15" t="s" s="6">
        <v>25</v>
      </c>
      <c r="B15" t="s" s="6">
        <v>38</v>
      </c>
      <c r="C15" t="s" s="6">
        <v>39</v>
      </c>
      <c r="D15" t="s" s="6">
        <v>40</v>
      </c>
      <c r="E15" t="s" s="6">
        <v>41</v>
      </c>
    </row>
    <row r="16" ht="48.0" customHeight="true">
      <c r="A16" t="s" s="5">
        <v>25</v>
      </c>
      <c r="B16" t="s" s="5">
        <v>42</v>
      </c>
      <c r="C16" t="s" s="5">
        <v>43</v>
      </c>
      <c r="D16" t="s" s="5">
        <v>44</v>
      </c>
      <c r="E16" t="s" s="5">
        <v>45</v>
      </c>
    </row>
    <row r="17" ht="48.0" customHeight="true">
      <c r="A17" t="s" s="6">
        <v>46</v>
      </c>
      <c r="B17" t="s" s="6">
        <v>47</v>
      </c>
      <c r="C17" t="s" s="6">
        <v>48</v>
      </c>
      <c r="D17" t="s" s="6">
        <v>49</v>
      </c>
      <c r="E17" t="s" s="6">
        <v>50</v>
      </c>
    </row>
    <row r="19" ht="27.0" customHeight="true">
      <c r="A19" s="3" t="s">
        <v>51</v>
      </c>
      <c r="B19" s="3"/>
      <c r="C19" s="3"/>
      <c r="D19" s="3"/>
      <c r="E19" s="3"/>
      <c r="F19" s="3"/>
      <c r="G19" s="3"/>
      <c r="H19" s="3"/>
    </row>
    <row r="20" ht="32.0" customHeight="true">
      <c r="A20" t="s" s="4">
        <v>52</v>
      </c>
      <c r="B20" t="s" s="4">
        <v>53</v>
      </c>
      <c r="C20" t="s" s="4">
        <v>54</v>
      </c>
      <c r="D20" t="s" s="4">
        <v>55</v>
      </c>
      <c r="E20" t="s" s="4">
        <v>56</v>
      </c>
    </row>
    <row r="21" ht="38.0" customHeight="true">
      <c r="A21" t="s" s="6">
        <v>57</v>
      </c>
      <c r="B21" t="s" s="6">
        <v>58</v>
      </c>
      <c r="C21" t="s" s="6">
        <v>59</v>
      </c>
      <c r="D21" t="s" s="6">
        <v>60</v>
      </c>
      <c r="E21" t="s" s="6">
        <v>61</v>
      </c>
    </row>
    <row r="22" ht="38.0" customHeight="true">
      <c r="A22" t="s" s="5">
        <v>62</v>
      </c>
      <c r="B22" t="s" s="5">
        <v>63</v>
      </c>
      <c r="C22" t="s" s="5">
        <v>64</v>
      </c>
      <c r="D22" t="s" s="5">
        <v>65</v>
      </c>
      <c r="E22" t="s" s="5">
        <v>66</v>
      </c>
    </row>
    <row r="23" ht="48.0" customHeight="true">
      <c r="A23" t="s" s="6">
        <v>67</v>
      </c>
      <c r="B23" t="s" s="6">
        <v>68</v>
      </c>
      <c r="C23" t="s" s="6">
        <v>69</v>
      </c>
      <c r="D23" t="s" s="6">
        <v>70</v>
      </c>
      <c r="E23" t="s" s="6">
        <v>71</v>
      </c>
    </row>
    <row r="24" ht="38.0" customHeight="true">
      <c r="A24" t="s" s="5">
        <v>72</v>
      </c>
      <c r="B24" t="s" s="5">
        <v>73</v>
      </c>
      <c r="C24" t="s" s="5">
        <v>74</v>
      </c>
      <c r="D24" t="s" s="5">
        <v>75</v>
      </c>
      <c r="E24" t="s" s="5">
        <v>76</v>
      </c>
    </row>
    <row r="25" ht="38.0" customHeight="true">
      <c r="A25" t="s" s="6">
        <v>77</v>
      </c>
      <c r="B25" t="s" s="6">
        <v>78</v>
      </c>
      <c r="C25" t="s" s="6">
        <v>79</v>
      </c>
      <c r="D25" t="s" s="6">
        <v>80</v>
      </c>
      <c r="E25" t="s" s="6">
        <v>81</v>
      </c>
    </row>
    <row r="26" ht="38.0" customHeight="true">
      <c r="A26" t="s" s="5">
        <v>82</v>
      </c>
      <c r="B26" t="s" s="5">
        <v>83</v>
      </c>
      <c r="C26" t="s" s="5">
        <v>84</v>
      </c>
      <c r="D26" t="s" s="5">
        <v>85</v>
      </c>
      <c r="E26" t="s" s="5">
        <v>86</v>
      </c>
    </row>
    <row r="27" ht="38.0" customHeight="true">
      <c r="A27" t="s" s="6">
        <v>87</v>
      </c>
      <c r="B27" t="s" s="6">
        <v>88</v>
      </c>
      <c r="C27" t="s" s="6">
        <v>89</v>
      </c>
      <c r="D27" t="s" s="6">
        <v>90</v>
      </c>
      <c r="E27" t="s" s="6">
        <v>91</v>
      </c>
    </row>
    <row r="29" ht="27.0" customHeight="true">
      <c r="A29" s="3" t="s">
        <v>92</v>
      </c>
      <c r="B29" s="3"/>
      <c r="C29" s="3"/>
      <c r="D29" s="3"/>
      <c r="E29" s="3"/>
      <c r="F29" s="3"/>
      <c r="G29" s="3"/>
      <c r="H29" s="3"/>
    </row>
    <row r="30" ht="32.0" customHeight="true">
      <c r="A30" t="s" s="4">
        <v>93</v>
      </c>
      <c r="B30" t="s" s="4">
        <v>94</v>
      </c>
      <c r="C30" t="s" s="4">
        <v>95</v>
      </c>
      <c r="D30" t="s" s="4">
        <v>96</v>
      </c>
      <c r="E30" t="s" s="4">
        <v>97</v>
      </c>
    </row>
    <row r="31" ht="38.0" customHeight="true">
      <c r="A31" t="s" s="6">
        <v>98</v>
      </c>
      <c r="B31" t="s" s="6">
        <v>8</v>
      </c>
      <c r="C31" t="s" s="6">
        <v>99</v>
      </c>
      <c r="D31" t="s" s="6">
        <v>100</v>
      </c>
      <c r="E31" t="s" s="6">
        <v>101</v>
      </c>
    </row>
    <row r="32" ht="38.0" customHeight="true">
      <c r="A32" t="s" s="5">
        <v>102</v>
      </c>
      <c r="B32" t="s" s="5">
        <v>8</v>
      </c>
      <c r="C32" t="s" s="5">
        <v>103</v>
      </c>
      <c r="D32" t="s" s="5">
        <v>104</v>
      </c>
      <c r="E32" t="s" s="5">
        <v>101</v>
      </c>
    </row>
    <row r="33" ht="38.0" customHeight="true">
      <c r="A33" t="s" s="6">
        <v>105</v>
      </c>
      <c r="B33" t="s" s="6">
        <v>8</v>
      </c>
      <c r="C33" t="s" s="6">
        <v>106</v>
      </c>
      <c r="D33" t="s" s="6">
        <v>107</v>
      </c>
      <c r="E33" t="s" s="6">
        <v>101</v>
      </c>
    </row>
    <row r="34" ht="38.0" customHeight="true">
      <c r="A34" t="s" s="5">
        <v>108</v>
      </c>
      <c r="B34" t="s" s="5">
        <v>8</v>
      </c>
      <c r="C34" t="s" s="5">
        <v>109</v>
      </c>
      <c r="D34" t="s" s="5">
        <v>110</v>
      </c>
      <c r="E34" t="s" s="5">
        <v>101</v>
      </c>
    </row>
    <row r="35" ht="38.0" customHeight="true">
      <c r="A35" t="s" s="6">
        <v>111</v>
      </c>
      <c r="B35" t="s" s="6">
        <v>8</v>
      </c>
      <c r="C35" t="s" s="6">
        <v>112</v>
      </c>
      <c r="D35" t="s" s="6">
        <v>113</v>
      </c>
      <c r="E35" t="s" s="6">
        <v>114</v>
      </c>
    </row>
    <row r="37" ht="27.0" customHeight="true">
      <c r="A37" s="3" t="s">
        <v>115</v>
      </c>
      <c r="B37" s="3"/>
      <c r="C37" s="3"/>
      <c r="D37" s="3"/>
      <c r="E37" s="3"/>
      <c r="F37" s="3"/>
      <c r="G37" s="3"/>
      <c r="H37" s="3"/>
    </row>
    <row r="38" ht="32.0" customHeight="true">
      <c r="A38" t="s" s="4">
        <v>116</v>
      </c>
      <c r="B38" t="s" s="4">
        <v>117</v>
      </c>
      <c r="C38" t="s" s="4">
        <v>118</v>
      </c>
      <c r="D38" t="s" s="4">
        <v>119</v>
      </c>
    </row>
    <row r="39" ht="38.0" customHeight="true">
      <c r="A39" t="s" s="6">
        <v>120</v>
      </c>
      <c r="B39" t="s" s="6">
        <v>121</v>
      </c>
      <c r="C39" t="s" s="10">
        <v>122</v>
      </c>
      <c r="D39" t="s" s="6">
        <v>123</v>
      </c>
    </row>
    <row r="40" ht="38.0" customHeight="true">
      <c r="A40" t="s" s="5">
        <v>120</v>
      </c>
      <c r="B40" t="s" s="5">
        <v>124</v>
      </c>
      <c r="C40" t="s" s="10">
        <v>122</v>
      </c>
      <c r="D40" t="s" s="5">
        <v>125</v>
      </c>
    </row>
    <row r="41" ht="38.0" customHeight="true">
      <c r="A41" t="s" s="6">
        <v>126</v>
      </c>
      <c r="B41" t="s" s="6">
        <v>127</v>
      </c>
      <c r="C41" t="s" s="10">
        <v>122</v>
      </c>
      <c r="D41" t="s" s="6">
        <v>128</v>
      </c>
    </row>
    <row r="42" ht="38.0" customHeight="true">
      <c r="A42" t="s" s="5">
        <v>126</v>
      </c>
      <c r="B42" t="s" s="5">
        <v>129</v>
      </c>
      <c r="C42" t="s" s="10">
        <v>122</v>
      </c>
      <c r="D42" t="s" s="5">
        <v>130</v>
      </c>
    </row>
    <row r="43" ht="38.0" customHeight="true">
      <c r="A43" t="s" s="6">
        <v>126</v>
      </c>
      <c r="B43" t="s" s="6">
        <v>131</v>
      </c>
      <c r="C43" t="s" s="11">
        <v>132</v>
      </c>
      <c r="D43" t="s" s="6">
        <v>133</v>
      </c>
    </row>
    <row r="44" ht="38.0" customHeight="true">
      <c r="A44" t="s" s="5">
        <v>126</v>
      </c>
      <c r="B44" t="s" s="5">
        <v>134</v>
      </c>
      <c r="C44" t="s" s="11">
        <v>132</v>
      </c>
      <c r="D44" t="s" s="5">
        <v>135</v>
      </c>
    </row>
    <row r="45" ht="38.0" customHeight="true">
      <c r="A45" t="s" s="6">
        <v>136</v>
      </c>
      <c r="B45" t="s" s="6">
        <v>137</v>
      </c>
      <c r="C45" t="s" s="12">
        <v>138</v>
      </c>
      <c r="D45" t="s" s="6">
        <v>139</v>
      </c>
    </row>
    <row r="46" ht="38.0" customHeight="true">
      <c r="A46" t="s" s="5">
        <v>136</v>
      </c>
      <c r="B46" t="s" s="5">
        <v>140</v>
      </c>
      <c r="C46" t="s" s="12">
        <v>138</v>
      </c>
      <c r="D46" t="s" s="5">
        <v>141</v>
      </c>
    </row>
    <row r="47" ht="38.0" customHeight="true">
      <c r="A47" t="s" s="6">
        <v>136</v>
      </c>
      <c r="B47" t="s" s="6">
        <v>142</v>
      </c>
      <c r="C47" t="s" s="12">
        <v>138</v>
      </c>
      <c r="D47" t="s" s="6">
        <v>143</v>
      </c>
    </row>
  </sheetData>
  <mergeCells count="15">
    <mergeCell ref="A1:H1"/>
    <mergeCell ref="A2:H2"/>
    <mergeCell ref="A4:H4"/>
    <mergeCell ref="B5:D5"/>
    <mergeCell ref="F5:H5"/>
    <mergeCell ref="B6:D6"/>
    <mergeCell ref="F6:H6"/>
    <mergeCell ref="B7:D7"/>
    <mergeCell ref="F7:H7"/>
    <mergeCell ref="B8:D8"/>
    <mergeCell ref="F8:H8"/>
    <mergeCell ref="A10:H10"/>
    <mergeCell ref="A19:H19"/>
    <mergeCell ref="A29:H29"/>
    <mergeCell ref="A37:H37"/>
  </mergeCells>
  <pageMargins bottom="0.5" footer="0.3" header="0.3" left="0.3" right="0.3" top="0.5"/>
  <pageSetup orientation="landscape" fitToWidth="1" fitToHeight="0"/>
  <headerFooter>
    <oddHeader>&amp;C&amp;B智能商城软件测试文档</oddHeader>
    <oddFooter>&amp;L生成日期：2026-07-12&amp;R第 &amp;P 页 / 共 &amp;N 页</oddFooter>
  </headerFooter>
</worksheet>
</file>

<file path=xl/worksheets/sheet2.xml><?xml version="1.0" encoding="utf-8"?>
<worksheet xmlns="http://schemas.openxmlformats.org/spreadsheetml/2006/main">
  <sheetPr>
    <tabColor rgb="FF0F766E"/>
    <pageSetUpPr fitToPage="true" autoPageBreaks="true"/>
  </sheetPr>
  <dimension ref="A1:N78"/>
  <sheetViews>
    <sheetView workbookViewId="0" showGridLines="false" zoomScale="90" tabSelected="false">
      <pane xSplit="2.0" ySplit="4.0" state="frozen" topLeftCell="C5" activePane="bottomRight"/>
      <selection pane="bottomRight"/>
    </sheetView>
  </sheetViews>
  <sheetFormatPr defaultRowHeight="15.0"/>
  <cols>
    <col min="1" max="1" width="15.0" customWidth="true"/>
    <col min="2" max="2" width="16.0" customWidth="true"/>
    <col min="3" max="3" width="28.0" customWidth="true"/>
    <col min="4" max="4" width="9.0" customWidth="true"/>
    <col min="5" max="5" width="14.0" customWidth="true"/>
    <col min="6" max="6" width="24.0" customWidth="true"/>
    <col min="7" max="7" width="36.0" customWidth="true"/>
    <col min="8" max="8" width="24.0" customWidth="true"/>
    <col min="9" max="9" width="34.0" customWidth="true"/>
    <col min="10" max="10" width="34.0" customWidth="true"/>
    <col min="11" max="11" width="11.0" customWidth="true"/>
    <col min="12" max="12" width="12.0" customWidth="true"/>
    <col min="13" max="13" width="34.0" customWidth="true"/>
    <col min="14" max="14" width="13.0" customWidth="true"/>
  </cols>
  <sheetData>
    <row r="1" ht="34.0" customHeight="true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.0" customHeight="true">
      <c r="A2" s="2" t="s">
        <v>145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2.0" customHeight="true">
      <c r="A4" t="s" s="4">
        <v>146</v>
      </c>
      <c r="B4" t="s" s="4">
        <v>21</v>
      </c>
      <c r="C4" t="s" s="4">
        <v>147</v>
      </c>
      <c r="D4" t="s" s="4">
        <v>148</v>
      </c>
      <c r="E4" t="s" s="4">
        <v>149</v>
      </c>
      <c r="F4" t="s" s="4">
        <v>150</v>
      </c>
      <c r="G4" t="s" s="4">
        <v>151</v>
      </c>
      <c r="H4" t="s" s="4">
        <v>152</v>
      </c>
      <c r="I4" t="s" s="4">
        <v>153</v>
      </c>
      <c r="J4" t="s" s="4">
        <v>154</v>
      </c>
      <c r="K4" t="s" s="4">
        <v>155</v>
      </c>
      <c r="L4" t="s" s="4">
        <v>156</v>
      </c>
      <c r="M4" t="s" s="4">
        <v>157</v>
      </c>
      <c r="N4" t="s" s="4">
        <v>158</v>
      </c>
    </row>
    <row r="5" ht="48.0" customHeight="true">
      <c r="A5" t="s" s="6">
        <v>159</v>
      </c>
      <c r="B5" t="s" s="6">
        <v>26</v>
      </c>
      <c r="C5" t="s" s="6">
        <v>160</v>
      </c>
      <c r="D5" t="s" s="6">
        <v>161</v>
      </c>
      <c r="E5" t="s" s="6">
        <v>162</v>
      </c>
      <c r="F5" t="s" s="6">
        <v>163</v>
      </c>
      <c r="G5" t="s" s="6">
        <v>164</v>
      </c>
      <c r="H5" t="s" s="6">
        <v>165</v>
      </c>
      <c r="I5" t="s" s="6">
        <v>166</v>
      </c>
      <c r="J5" t="s" s="6">
        <v>167</v>
      </c>
      <c r="K5" t="s" s="10">
        <v>122</v>
      </c>
      <c r="L5" s="6"/>
      <c r="M5" t="s" s="6">
        <v>168</v>
      </c>
      <c r="N5" t="s" s="6">
        <v>8</v>
      </c>
    </row>
    <row r="6" ht="48.0" customHeight="true">
      <c r="A6" t="s" s="5">
        <v>169</v>
      </c>
      <c r="B6" t="s" s="5">
        <v>26</v>
      </c>
      <c r="C6" t="s" s="5">
        <v>170</v>
      </c>
      <c r="D6" t="s" s="5">
        <v>161</v>
      </c>
      <c r="E6" t="s" s="5">
        <v>171</v>
      </c>
      <c r="F6" t="s" s="5">
        <v>172</v>
      </c>
      <c r="G6" t="s" s="5">
        <v>173</v>
      </c>
      <c r="H6" t="s" s="5">
        <v>174</v>
      </c>
      <c r="I6" t="s" s="5">
        <v>175</v>
      </c>
      <c r="J6" t="s" s="5">
        <v>176</v>
      </c>
      <c r="K6" t="s" s="10">
        <v>122</v>
      </c>
      <c r="L6" s="5"/>
      <c r="M6" t="s" s="5">
        <v>177</v>
      </c>
      <c r="N6" t="s" s="5">
        <v>8</v>
      </c>
    </row>
    <row r="7" ht="38.0" customHeight="true">
      <c r="A7" t="s" s="6">
        <v>178</v>
      </c>
      <c r="B7" t="s" s="6">
        <v>26</v>
      </c>
      <c r="C7" t="s" s="6">
        <v>179</v>
      </c>
      <c r="D7" t="s" s="6">
        <v>161</v>
      </c>
      <c r="E7" t="s" s="6">
        <v>162</v>
      </c>
      <c r="F7" t="s" s="6">
        <v>180</v>
      </c>
      <c r="G7" t="s" s="6">
        <v>181</v>
      </c>
      <c r="H7" t="s" s="6">
        <v>182</v>
      </c>
      <c r="I7" t="s" s="6">
        <v>183</v>
      </c>
      <c r="J7" t="s" s="6">
        <v>184</v>
      </c>
      <c r="K7" t="s" s="10">
        <v>122</v>
      </c>
      <c r="L7" s="6"/>
      <c r="M7" t="s" s="6">
        <v>168</v>
      </c>
      <c r="N7" t="s" s="6">
        <v>8</v>
      </c>
    </row>
    <row r="8" ht="38.0" customHeight="true">
      <c r="A8" t="s" s="5">
        <v>185</v>
      </c>
      <c r="B8" t="s" s="5">
        <v>26</v>
      </c>
      <c r="C8" t="s" s="5">
        <v>186</v>
      </c>
      <c r="D8" t="s" s="5">
        <v>161</v>
      </c>
      <c r="E8" t="s" s="5">
        <v>187</v>
      </c>
      <c r="F8" t="s" s="5">
        <v>188</v>
      </c>
      <c r="G8" t="s" s="5">
        <v>189</v>
      </c>
      <c r="H8" t="s" s="5">
        <v>190</v>
      </c>
      <c r="I8" t="s" s="5">
        <v>191</v>
      </c>
      <c r="J8" t="s" s="5">
        <v>192</v>
      </c>
      <c r="K8" t="s" s="10">
        <v>122</v>
      </c>
      <c r="L8" s="5"/>
      <c r="M8" t="s" s="5">
        <v>168</v>
      </c>
      <c r="N8" t="s" s="5">
        <v>8</v>
      </c>
    </row>
    <row r="9" ht="38.0" customHeight="true">
      <c r="A9" t="s" s="6">
        <v>193</v>
      </c>
      <c r="B9" t="s" s="6">
        <v>26</v>
      </c>
      <c r="C9" t="s" s="6">
        <v>194</v>
      </c>
      <c r="D9" t="s" s="6">
        <v>195</v>
      </c>
      <c r="E9" t="s" s="6">
        <v>196</v>
      </c>
      <c r="F9" t="s" s="6">
        <v>197</v>
      </c>
      <c r="G9" t="s" s="6">
        <v>198</v>
      </c>
      <c r="H9" t="s" s="6">
        <v>199</v>
      </c>
      <c r="I9" t="s" s="6">
        <v>200</v>
      </c>
      <c r="J9" t="s" s="6">
        <v>201</v>
      </c>
      <c r="K9" t="s" s="10">
        <v>122</v>
      </c>
      <c r="L9" s="6"/>
      <c r="M9" t="s" s="6">
        <v>168</v>
      </c>
      <c r="N9" t="s" s="6">
        <v>8</v>
      </c>
    </row>
    <row r="10" ht="38.0" customHeight="true">
      <c r="A10" t="s" s="5">
        <v>202</v>
      </c>
      <c r="B10" t="s" s="5">
        <v>26</v>
      </c>
      <c r="C10" t="s" s="5">
        <v>203</v>
      </c>
      <c r="D10" t="s" s="5">
        <v>195</v>
      </c>
      <c r="E10" t="s" s="5">
        <v>196</v>
      </c>
      <c r="F10" t="s" s="5">
        <v>165</v>
      </c>
      <c r="G10" t="s" s="5">
        <v>204</v>
      </c>
      <c r="H10" t="s" s="5">
        <v>205</v>
      </c>
      <c r="I10" t="s" s="5">
        <v>206</v>
      </c>
      <c r="J10" t="s" s="5">
        <v>207</v>
      </c>
      <c r="K10" t="s" s="10">
        <v>122</v>
      </c>
      <c r="L10" s="5"/>
      <c r="M10" t="s" s="5">
        <v>168</v>
      </c>
      <c r="N10" t="s" s="5">
        <v>8</v>
      </c>
    </row>
    <row r="11" ht="48.0" customHeight="true">
      <c r="A11" t="s" s="6">
        <v>208</v>
      </c>
      <c r="B11" t="s" s="6">
        <v>26</v>
      </c>
      <c r="C11" t="s" s="6">
        <v>209</v>
      </c>
      <c r="D11" t="s" s="6">
        <v>161</v>
      </c>
      <c r="E11" t="s" s="6">
        <v>210</v>
      </c>
      <c r="F11" t="s" s="6">
        <v>165</v>
      </c>
      <c r="G11" t="s" s="6">
        <v>211</v>
      </c>
      <c r="H11" t="s" s="6">
        <v>212</v>
      </c>
      <c r="I11" t="s" s="6">
        <v>213</v>
      </c>
      <c r="J11" t="s" s="6">
        <v>214</v>
      </c>
      <c r="K11" t="s" s="11">
        <v>132</v>
      </c>
      <c r="L11" t="s" s="6">
        <v>215</v>
      </c>
      <c r="M11" t="s" s="6">
        <v>216</v>
      </c>
      <c r="N11" t="s" s="6">
        <v>8</v>
      </c>
    </row>
    <row r="12" ht="38.0" customHeight="true">
      <c r="A12" t="s" s="5">
        <v>217</v>
      </c>
      <c r="B12" t="s" s="5">
        <v>26</v>
      </c>
      <c r="C12" t="s" s="5">
        <v>218</v>
      </c>
      <c r="D12" t="s" s="5">
        <v>161</v>
      </c>
      <c r="E12" t="s" s="5">
        <v>219</v>
      </c>
      <c r="F12" t="s" s="5">
        <v>220</v>
      </c>
      <c r="G12" t="s" s="5">
        <v>221</v>
      </c>
      <c r="H12" t="s" s="5">
        <v>222</v>
      </c>
      <c r="I12" t="s" s="5">
        <v>223</v>
      </c>
      <c r="J12" t="s" s="5">
        <v>224</v>
      </c>
      <c r="K12" t="s" s="10">
        <v>122</v>
      </c>
      <c r="L12" s="5"/>
      <c r="M12" t="s" s="5">
        <v>168</v>
      </c>
      <c r="N12" t="s" s="5">
        <v>8</v>
      </c>
    </row>
    <row r="13" ht="38.0" customHeight="true">
      <c r="A13" t="s" s="6">
        <v>225</v>
      </c>
      <c r="B13" t="s" s="6">
        <v>26</v>
      </c>
      <c r="C13" t="s" s="6">
        <v>226</v>
      </c>
      <c r="D13" t="s" s="6">
        <v>161</v>
      </c>
      <c r="E13" t="s" s="6">
        <v>227</v>
      </c>
      <c r="F13" t="s" s="6">
        <v>228</v>
      </c>
      <c r="G13" t="s" s="6">
        <v>229</v>
      </c>
      <c r="H13" t="s" s="6">
        <v>230</v>
      </c>
      <c r="I13" t="s" s="6">
        <v>231</v>
      </c>
      <c r="J13" t="s" s="6">
        <v>232</v>
      </c>
      <c r="K13" t="s" s="10">
        <v>122</v>
      </c>
      <c r="L13" s="6"/>
      <c r="M13" t="s" s="6">
        <v>216</v>
      </c>
      <c r="N13" t="s" s="6">
        <v>8</v>
      </c>
    </row>
    <row r="14" ht="38.0" customHeight="true">
      <c r="A14" t="s" s="5">
        <v>233</v>
      </c>
      <c r="B14" t="s" s="5">
        <v>26</v>
      </c>
      <c r="C14" t="s" s="5">
        <v>234</v>
      </c>
      <c r="D14" t="s" s="5">
        <v>161</v>
      </c>
      <c r="E14" t="s" s="5">
        <v>162</v>
      </c>
      <c r="F14" t="s" s="5">
        <v>235</v>
      </c>
      <c r="G14" t="s" s="5">
        <v>236</v>
      </c>
      <c r="H14" t="s" s="5">
        <v>237</v>
      </c>
      <c r="I14" t="s" s="5">
        <v>238</v>
      </c>
      <c r="J14" t="s" s="5">
        <v>239</v>
      </c>
      <c r="K14" t="s" s="11">
        <v>132</v>
      </c>
      <c r="L14" t="s" s="5">
        <v>240</v>
      </c>
      <c r="M14" t="s" s="5">
        <v>168</v>
      </c>
      <c r="N14" t="s" s="5">
        <v>8</v>
      </c>
    </row>
    <row r="15" ht="48.0" customHeight="true">
      <c r="A15" t="s" s="6">
        <v>241</v>
      </c>
      <c r="B15" t="s" s="6">
        <v>26</v>
      </c>
      <c r="C15" t="s" s="6">
        <v>242</v>
      </c>
      <c r="D15" t="s" s="6">
        <v>161</v>
      </c>
      <c r="E15" t="s" s="6">
        <v>243</v>
      </c>
      <c r="F15" t="s" s="6">
        <v>244</v>
      </c>
      <c r="G15" t="s" s="6">
        <v>245</v>
      </c>
      <c r="H15" t="s" s="6">
        <v>246</v>
      </c>
      <c r="I15" t="s" s="6">
        <v>247</v>
      </c>
      <c r="J15" t="s" s="6">
        <v>248</v>
      </c>
      <c r="K15" t="s" s="10">
        <v>122</v>
      </c>
      <c r="L15" s="6"/>
      <c r="M15" t="s" s="6">
        <v>249</v>
      </c>
      <c r="N15" t="s" s="6">
        <v>8</v>
      </c>
    </row>
    <row r="16" ht="38.0" customHeight="true">
      <c r="A16" t="s" s="5">
        <v>250</v>
      </c>
      <c r="B16" t="s" s="5">
        <v>30</v>
      </c>
      <c r="C16" t="s" s="5">
        <v>251</v>
      </c>
      <c r="D16" t="s" s="5">
        <v>195</v>
      </c>
      <c r="E16" t="s" s="5">
        <v>171</v>
      </c>
      <c r="F16" t="s" s="5">
        <v>163</v>
      </c>
      <c r="G16" t="s" s="5">
        <v>252</v>
      </c>
      <c r="H16" t="s" s="5">
        <v>165</v>
      </c>
      <c r="I16" t="s" s="5">
        <v>253</v>
      </c>
      <c r="J16" t="s" s="5">
        <v>254</v>
      </c>
      <c r="K16" t="s" s="10">
        <v>122</v>
      </c>
      <c r="L16" s="5"/>
      <c r="M16" t="s" s="5">
        <v>168</v>
      </c>
      <c r="N16" t="s" s="5">
        <v>8</v>
      </c>
    </row>
    <row r="17" ht="48.0" customHeight="true">
      <c r="A17" t="s" s="6">
        <v>255</v>
      </c>
      <c r="B17" t="s" s="6">
        <v>30</v>
      </c>
      <c r="C17" t="s" s="6">
        <v>256</v>
      </c>
      <c r="D17" t="s" s="6">
        <v>161</v>
      </c>
      <c r="E17" t="s" s="6">
        <v>171</v>
      </c>
      <c r="F17" t="s" s="6">
        <v>257</v>
      </c>
      <c r="G17" t="s" s="6">
        <v>258</v>
      </c>
      <c r="H17" t="s" s="6">
        <v>259</v>
      </c>
      <c r="I17" t="s" s="6">
        <v>260</v>
      </c>
      <c r="J17" t="s" s="6">
        <v>261</v>
      </c>
      <c r="K17" t="s" s="10">
        <v>122</v>
      </c>
      <c r="L17" s="6"/>
      <c r="M17" t="s" s="6">
        <v>168</v>
      </c>
      <c r="N17" t="s" s="6">
        <v>8</v>
      </c>
    </row>
    <row r="18" ht="38.0" customHeight="true">
      <c r="A18" t="s" s="5">
        <v>262</v>
      </c>
      <c r="B18" t="s" s="5">
        <v>30</v>
      </c>
      <c r="C18" t="s" s="5">
        <v>263</v>
      </c>
      <c r="D18" t="s" s="5">
        <v>161</v>
      </c>
      <c r="E18" t="s" s="5">
        <v>171</v>
      </c>
      <c r="F18" t="s" s="5">
        <v>172</v>
      </c>
      <c r="G18" t="s" s="5">
        <v>264</v>
      </c>
      <c r="H18" t="s" s="5">
        <v>265</v>
      </c>
      <c r="I18" t="s" s="5">
        <v>266</v>
      </c>
      <c r="J18" t="s" s="5">
        <v>267</v>
      </c>
      <c r="K18" t="s" s="10">
        <v>122</v>
      </c>
      <c r="L18" s="5"/>
      <c r="M18" t="s" s="5">
        <v>177</v>
      </c>
      <c r="N18" t="s" s="5">
        <v>8</v>
      </c>
    </row>
    <row r="19" ht="38.0" customHeight="true">
      <c r="A19" t="s" s="6">
        <v>268</v>
      </c>
      <c r="B19" t="s" s="6">
        <v>30</v>
      </c>
      <c r="C19" t="s" s="6">
        <v>269</v>
      </c>
      <c r="D19" t="s" s="6">
        <v>195</v>
      </c>
      <c r="E19" t="s" s="6">
        <v>196</v>
      </c>
      <c r="F19" t="s" s="6">
        <v>257</v>
      </c>
      <c r="G19" t="s" s="6">
        <v>270</v>
      </c>
      <c r="H19" t="s" s="6">
        <v>271</v>
      </c>
      <c r="I19" t="s" s="6">
        <v>272</v>
      </c>
      <c r="J19" t="s" s="6">
        <v>273</v>
      </c>
      <c r="K19" t="s" s="10">
        <v>122</v>
      </c>
      <c r="L19" s="6"/>
      <c r="M19" t="s" s="6">
        <v>168</v>
      </c>
      <c r="N19" t="s" s="6">
        <v>8</v>
      </c>
    </row>
    <row r="20" ht="38.0" customHeight="true">
      <c r="A20" t="s" s="5">
        <v>274</v>
      </c>
      <c r="B20" t="s" s="5">
        <v>30</v>
      </c>
      <c r="C20" t="s" s="5">
        <v>275</v>
      </c>
      <c r="D20" t="s" s="5">
        <v>195</v>
      </c>
      <c r="E20" t="s" s="5">
        <v>210</v>
      </c>
      <c r="F20" t="s" s="5">
        <v>165</v>
      </c>
      <c r="G20" t="s" s="5">
        <v>276</v>
      </c>
      <c r="H20" t="s" s="5">
        <v>277</v>
      </c>
      <c r="I20" t="s" s="5">
        <v>278</v>
      </c>
      <c r="J20" t="s" s="5">
        <v>279</v>
      </c>
      <c r="K20" t="s" s="10">
        <v>122</v>
      </c>
      <c r="L20" s="5"/>
      <c r="M20" t="s" s="5">
        <v>168</v>
      </c>
      <c r="N20" t="s" s="5">
        <v>8</v>
      </c>
    </row>
    <row r="21" ht="38.0" customHeight="true">
      <c r="A21" t="s" s="6">
        <v>280</v>
      </c>
      <c r="B21" t="s" s="6">
        <v>30</v>
      </c>
      <c r="C21" t="s" s="6">
        <v>281</v>
      </c>
      <c r="D21" t="s" s="6">
        <v>282</v>
      </c>
      <c r="E21" t="s" s="6">
        <v>283</v>
      </c>
      <c r="F21" t="s" s="6">
        <v>284</v>
      </c>
      <c r="G21" t="s" s="6">
        <v>285</v>
      </c>
      <c r="H21" t="s" s="6">
        <v>165</v>
      </c>
      <c r="I21" t="s" s="6">
        <v>286</v>
      </c>
      <c r="J21" t="s" s="6">
        <v>287</v>
      </c>
      <c r="K21" t="s" s="10">
        <v>122</v>
      </c>
      <c r="L21" s="6"/>
      <c r="M21" t="s" s="6">
        <v>288</v>
      </c>
      <c r="N21" t="s" s="6">
        <v>8</v>
      </c>
    </row>
    <row r="22" ht="38.0" customHeight="true">
      <c r="A22" t="s" s="5">
        <v>289</v>
      </c>
      <c r="B22" t="s" s="5">
        <v>30</v>
      </c>
      <c r="C22" t="s" s="5">
        <v>290</v>
      </c>
      <c r="D22" t="s" s="5">
        <v>195</v>
      </c>
      <c r="E22" t="s" s="5">
        <v>291</v>
      </c>
      <c r="F22" t="s" s="5">
        <v>292</v>
      </c>
      <c r="G22" t="s" s="5">
        <v>293</v>
      </c>
      <c r="H22" t="s" s="5">
        <v>265</v>
      </c>
      <c r="I22" t="s" s="5">
        <v>294</v>
      </c>
      <c r="J22" t="s" s="5">
        <v>295</v>
      </c>
      <c r="K22" t="s" s="11">
        <v>132</v>
      </c>
      <c r="L22" t="s" s="5">
        <v>296</v>
      </c>
      <c r="M22" t="s" s="5">
        <v>297</v>
      </c>
      <c r="N22" t="s" s="5">
        <v>8</v>
      </c>
    </row>
    <row r="23" ht="38.0" customHeight="true">
      <c r="A23" t="s" s="6">
        <v>298</v>
      </c>
      <c r="B23" t="s" s="6">
        <v>30</v>
      </c>
      <c r="C23" t="s" s="6">
        <v>299</v>
      </c>
      <c r="D23" t="s" s="6">
        <v>282</v>
      </c>
      <c r="E23" t="s" s="6">
        <v>196</v>
      </c>
      <c r="F23" t="s" s="6">
        <v>300</v>
      </c>
      <c r="G23" t="s" s="6">
        <v>301</v>
      </c>
      <c r="H23" t="s" s="6">
        <v>302</v>
      </c>
      <c r="I23" t="s" s="6">
        <v>303</v>
      </c>
      <c r="J23" t="s" s="6">
        <v>304</v>
      </c>
      <c r="K23" t="s" s="11">
        <v>132</v>
      </c>
      <c r="L23" t="s" s="6">
        <v>305</v>
      </c>
      <c r="M23" t="s" s="6">
        <v>168</v>
      </c>
      <c r="N23" t="s" s="6">
        <v>8</v>
      </c>
    </row>
    <row r="24" ht="48.0" customHeight="true">
      <c r="A24" t="s" s="5">
        <v>306</v>
      </c>
      <c r="B24" t="s" s="5">
        <v>30</v>
      </c>
      <c r="C24" t="s" s="5">
        <v>307</v>
      </c>
      <c r="D24" t="s" s="5">
        <v>161</v>
      </c>
      <c r="E24" t="s" s="5">
        <v>308</v>
      </c>
      <c r="F24" t="s" s="5">
        <v>228</v>
      </c>
      <c r="G24" t="s" s="5">
        <v>309</v>
      </c>
      <c r="H24" t="s" s="5">
        <v>310</v>
      </c>
      <c r="I24" t="s" s="5">
        <v>206</v>
      </c>
      <c r="J24" t="s" s="5">
        <v>311</v>
      </c>
      <c r="K24" t="s" s="10">
        <v>122</v>
      </c>
      <c r="L24" s="5"/>
      <c r="M24" t="s" s="5">
        <v>312</v>
      </c>
      <c r="N24" t="s" s="5">
        <v>8</v>
      </c>
    </row>
    <row r="25" ht="48.0" customHeight="true">
      <c r="A25" t="s" s="6">
        <v>313</v>
      </c>
      <c r="B25" t="s" s="6">
        <v>30</v>
      </c>
      <c r="C25" t="s" s="6">
        <v>314</v>
      </c>
      <c r="D25" t="s" s="6">
        <v>161</v>
      </c>
      <c r="E25" t="s" s="6">
        <v>308</v>
      </c>
      <c r="F25" t="s" s="6">
        <v>228</v>
      </c>
      <c r="G25" t="s" s="6">
        <v>315</v>
      </c>
      <c r="H25" t="s" s="6">
        <v>316</v>
      </c>
      <c r="I25" t="s" s="6">
        <v>206</v>
      </c>
      <c r="J25" t="s" s="6">
        <v>311</v>
      </c>
      <c r="K25" t="s" s="10">
        <v>122</v>
      </c>
      <c r="L25" s="6"/>
      <c r="M25" t="s" s="6">
        <v>312</v>
      </c>
      <c r="N25" t="s" s="6">
        <v>8</v>
      </c>
    </row>
    <row r="26" ht="38.0" customHeight="true">
      <c r="A26" t="s" s="5">
        <v>317</v>
      </c>
      <c r="B26" t="s" s="5">
        <v>30</v>
      </c>
      <c r="C26" t="s" s="5">
        <v>318</v>
      </c>
      <c r="D26" t="s" s="5">
        <v>195</v>
      </c>
      <c r="E26" t="s" s="5">
        <v>171</v>
      </c>
      <c r="F26" t="s" s="5">
        <v>228</v>
      </c>
      <c r="G26" t="s" s="5">
        <v>319</v>
      </c>
      <c r="H26" t="s" s="5">
        <v>320</v>
      </c>
      <c r="I26" t="s" s="5">
        <v>321</v>
      </c>
      <c r="J26" t="s" s="5">
        <v>322</v>
      </c>
      <c r="K26" t="s" s="10">
        <v>122</v>
      </c>
      <c r="L26" s="5"/>
      <c r="M26" t="s" s="5">
        <v>312</v>
      </c>
      <c r="N26" t="s" s="5">
        <v>8</v>
      </c>
    </row>
    <row r="27" ht="48.0" customHeight="true">
      <c r="A27" t="s" s="6">
        <v>323</v>
      </c>
      <c r="B27" t="s" s="6">
        <v>30</v>
      </c>
      <c r="C27" t="s" s="6">
        <v>324</v>
      </c>
      <c r="D27" t="s" s="6">
        <v>195</v>
      </c>
      <c r="E27" t="s" s="6">
        <v>210</v>
      </c>
      <c r="F27" t="s" s="6">
        <v>163</v>
      </c>
      <c r="G27" t="s" s="6">
        <v>325</v>
      </c>
      <c r="H27" t="s" s="6">
        <v>326</v>
      </c>
      <c r="I27" t="s" s="6">
        <v>206</v>
      </c>
      <c r="J27" t="s" s="6">
        <v>327</v>
      </c>
      <c r="K27" t="s" s="11">
        <v>132</v>
      </c>
      <c r="L27" t="s" s="6">
        <v>215</v>
      </c>
      <c r="M27" t="s" s="6">
        <v>168</v>
      </c>
      <c r="N27" t="s" s="6">
        <v>8</v>
      </c>
    </row>
    <row r="28" ht="38.0" customHeight="true">
      <c r="A28" t="s" s="5">
        <v>328</v>
      </c>
      <c r="B28" t="s" s="5">
        <v>329</v>
      </c>
      <c r="C28" t="s" s="5">
        <v>330</v>
      </c>
      <c r="D28" t="s" s="5">
        <v>161</v>
      </c>
      <c r="E28" t="s" s="5">
        <v>162</v>
      </c>
      <c r="F28" t="s" s="5">
        <v>235</v>
      </c>
      <c r="G28" t="s" s="5">
        <v>331</v>
      </c>
      <c r="H28" t="s" s="5">
        <v>165</v>
      </c>
      <c r="I28" t="s" s="5">
        <v>166</v>
      </c>
      <c r="J28" t="s" s="5">
        <v>167</v>
      </c>
      <c r="K28" t="s" s="10">
        <v>122</v>
      </c>
      <c r="L28" s="5"/>
      <c r="M28" t="s" s="5">
        <v>168</v>
      </c>
      <c r="N28" t="s" s="5">
        <v>8</v>
      </c>
    </row>
    <row r="29" ht="38.0" customHeight="true">
      <c r="A29" t="s" s="6">
        <v>332</v>
      </c>
      <c r="B29" t="s" s="6">
        <v>329</v>
      </c>
      <c r="C29" t="s" s="6">
        <v>333</v>
      </c>
      <c r="D29" t="s" s="6">
        <v>161</v>
      </c>
      <c r="E29" t="s" s="6">
        <v>171</v>
      </c>
      <c r="F29" t="s" s="6">
        <v>334</v>
      </c>
      <c r="G29" t="s" s="6">
        <v>335</v>
      </c>
      <c r="H29" t="s" s="6">
        <v>336</v>
      </c>
      <c r="I29" t="s" s="6">
        <v>337</v>
      </c>
      <c r="J29" t="s" s="6">
        <v>338</v>
      </c>
      <c r="K29" t="s" s="10">
        <v>122</v>
      </c>
      <c r="L29" s="6"/>
      <c r="M29" t="s" s="6">
        <v>339</v>
      </c>
      <c r="N29" t="s" s="6">
        <v>8</v>
      </c>
    </row>
    <row r="30" ht="48.0" customHeight="true">
      <c r="A30" t="s" s="5">
        <v>340</v>
      </c>
      <c r="B30" t="s" s="5">
        <v>329</v>
      </c>
      <c r="C30" t="s" s="5">
        <v>341</v>
      </c>
      <c r="D30" t="s" s="5">
        <v>195</v>
      </c>
      <c r="E30" t="s" s="5">
        <v>342</v>
      </c>
      <c r="F30" t="s" s="5">
        <v>343</v>
      </c>
      <c r="G30" t="s" s="5">
        <v>344</v>
      </c>
      <c r="H30" t="s" s="5">
        <v>345</v>
      </c>
      <c r="I30" t="s" s="5">
        <v>346</v>
      </c>
      <c r="J30" t="s" s="5">
        <v>347</v>
      </c>
      <c r="K30" t="s" s="10">
        <v>122</v>
      </c>
      <c r="L30" s="5"/>
      <c r="M30" t="s" s="5">
        <v>348</v>
      </c>
      <c r="N30" t="s" s="5">
        <v>8</v>
      </c>
    </row>
    <row r="31" ht="38.0" customHeight="true">
      <c r="A31" t="s" s="6">
        <v>349</v>
      </c>
      <c r="B31" t="s" s="6">
        <v>329</v>
      </c>
      <c r="C31" t="s" s="6">
        <v>350</v>
      </c>
      <c r="D31" t="s" s="6">
        <v>195</v>
      </c>
      <c r="E31" t="s" s="6">
        <v>196</v>
      </c>
      <c r="F31" t="s" s="6">
        <v>188</v>
      </c>
      <c r="G31" t="s" s="6">
        <v>351</v>
      </c>
      <c r="H31" t="s" s="6">
        <v>352</v>
      </c>
      <c r="I31" t="s" s="6">
        <v>206</v>
      </c>
      <c r="J31" t="s" s="6">
        <v>353</v>
      </c>
      <c r="K31" t="s" s="10">
        <v>122</v>
      </c>
      <c r="L31" s="6"/>
      <c r="M31" t="s" s="6">
        <v>354</v>
      </c>
      <c r="N31" t="s" s="6">
        <v>8</v>
      </c>
    </row>
    <row r="32" ht="38.0" customHeight="true">
      <c r="A32" t="s" s="5">
        <v>355</v>
      </c>
      <c r="B32" t="s" s="5">
        <v>329</v>
      </c>
      <c r="C32" t="s" s="5">
        <v>356</v>
      </c>
      <c r="D32" t="s" s="5">
        <v>161</v>
      </c>
      <c r="E32" t="s" s="5">
        <v>210</v>
      </c>
      <c r="F32" t="s" s="5">
        <v>188</v>
      </c>
      <c r="G32" t="s" s="5">
        <v>357</v>
      </c>
      <c r="H32" t="s" s="5">
        <v>358</v>
      </c>
      <c r="I32" t="s" s="5">
        <v>206</v>
      </c>
      <c r="J32" t="s" s="5">
        <v>359</v>
      </c>
      <c r="K32" t="s" s="11">
        <v>132</v>
      </c>
      <c r="L32" t="s" s="5">
        <v>215</v>
      </c>
      <c r="M32" t="s" s="5">
        <v>216</v>
      </c>
      <c r="N32" t="s" s="5">
        <v>8</v>
      </c>
    </row>
    <row r="33" ht="48.0" customHeight="true">
      <c r="A33" t="s" s="6">
        <v>360</v>
      </c>
      <c r="B33" t="s" s="6">
        <v>329</v>
      </c>
      <c r="C33" t="s" s="6">
        <v>361</v>
      </c>
      <c r="D33" t="s" s="6">
        <v>161</v>
      </c>
      <c r="E33" t="s" s="6">
        <v>362</v>
      </c>
      <c r="F33" t="s" s="6">
        <v>363</v>
      </c>
      <c r="G33" t="s" s="6">
        <v>364</v>
      </c>
      <c r="H33" t="s" s="6">
        <v>365</v>
      </c>
      <c r="I33" t="s" s="6">
        <v>366</v>
      </c>
      <c r="J33" t="s" s="6">
        <v>347</v>
      </c>
      <c r="K33" t="s" s="10">
        <v>122</v>
      </c>
      <c r="L33" s="6"/>
      <c r="M33" t="s" s="6">
        <v>348</v>
      </c>
      <c r="N33" t="s" s="6">
        <v>8</v>
      </c>
    </row>
    <row r="34" ht="38.0" customHeight="true">
      <c r="A34" t="s" s="5">
        <v>367</v>
      </c>
      <c r="B34" t="s" s="5">
        <v>329</v>
      </c>
      <c r="C34" t="s" s="5">
        <v>368</v>
      </c>
      <c r="D34" t="s" s="5">
        <v>195</v>
      </c>
      <c r="E34" t="s" s="5">
        <v>283</v>
      </c>
      <c r="F34" t="s" s="5">
        <v>369</v>
      </c>
      <c r="G34" t="s" s="5">
        <v>370</v>
      </c>
      <c r="H34" t="s" s="5">
        <v>371</v>
      </c>
      <c r="I34" t="s" s="5">
        <v>372</v>
      </c>
      <c r="J34" t="s" s="5">
        <v>373</v>
      </c>
      <c r="K34" t="s" s="10">
        <v>122</v>
      </c>
      <c r="L34" s="5"/>
      <c r="M34" t="s" s="5">
        <v>288</v>
      </c>
      <c r="N34" t="s" s="5">
        <v>8</v>
      </c>
    </row>
    <row r="35" ht="38.0" customHeight="true">
      <c r="A35" t="s" s="6">
        <v>374</v>
      </c>
      <c r="B35" t="s" s="6">
        <v>329</v>
      </c>
      <c r="C35" t="s" s="6">
        <v>375</v>
      </c>
      <c r="D35" t="s" s="6">
        <v>161</v>
      </c>
      <c r="E35" t="s" s="6">
        <v>376</v>
      </c>
      <c r="F35" t="s" s="6">
        <v>377</v>
      </c>
      <c r="G35" t="s" s="6">
        <v>378</v>
      </c>
      <c r="H35" t="s" s="6">
        <v>379</v>
      </c>
      <c r="I35" t="s" s="6">
        <v>380</v>
      </c>
      <c r="J35" t="s" s="6">
        <v>381</v>
      </c>
      <c r="K35" t="s" s="10">
        <v>122</v>
      </c>
      <c r="L35" s="6"/>
      <c r="M35" t="s" s="6">
        <v>288</v>
      </c>
      <c r="N35" t="s" s="6">
        <v>8</v>
      </c>
    </row>
    <row r="36" ht="38.0" customHeight="true">
      <c r="A36" t="s" s="5">
        <v>382</v>
      </c>
      <c r="B36" t="s" s="5">
        <v>383</v>
      </c>
      <c r="C36" t="s" s="5">
        <v>384</v>
      </c>
      <c r="D36" t="s" s="5">
        <v>161</v>
      </c>
      <c r="E36" t="s" s="5">
        <v>385</v>
      </c>
      <c r="F36" t="s" s="5">
        <v>386</v>
      </c>
      <c r="G36" t="s" s="5">
        <v>387</v>
      </c>
      <c r="H36" t="s" s="5">
        <v>388</v>
      </c>
      <c r="I36" t="s" s="5">
        <v>389</v>
      </c>
      <c r="J36" t="s" s="5">
        <v>390</v>
      </c>
      <c r="K36" t="s" s="10">
        <v>122</v>
      </c>
      <c r="L36" s="5"/>
      <c r="M36" t="s" s="5">
        <v>391</v>
      </c>
      <c r="N36" t="s" s="5">
        <v>8</v>
      </c>
    </row>
    <row r="37" ht="38.0" customHeight="true">
      <c r="A37" t="s" s="6">
        <v>392</v>
      </c>
      <c r="B37" t="s" s="6">
        <v>383</v>
      </c>
      <c r="C37" t="s" s="6">
        <v>393</v>
      </c>
      <c r="D37" t="s" s="6">
        <v>161</v>
      </c>
      <c r="E37" t="s" s="6">
        <v>196</v>
      </c>
      <c r="F37" t="s" s="6">
        <v>188</v>
      </c>
      <c r="G37" t="s" s="6">
        <v>394</v>
      </c>
      <c r="H37" t="s" s="6">
        <v>395</v>
      </c>
      <c r="I37" t="s" s="6">
        <v>206</v>
      </c>
      <c r="J37" t="s" s="6">
        <v>207</v>
      </c>
      <c r="K37" t="s" s="10">
        <v>122</v>
      </c>
      <c r="L37" s="6"/>
      <c r="M37" t="s" s="6">
        <v>168</v>
      </c>
      <c r="N37" t="s" s="6">
        <v>8</v>
      </c>
    </row>
    <row r="38" ht="48.0" customHeight="true">
      <c r="A38" t="s" s="5">
        <v>396</v>
      </c>
      <c r="B38" t="s" s="5">
        <v>383</v>
      </c>
      <c r="C38" t="s" s="5">
        <v>397</v>
      </c>
      <c r="D38" t="s" s="5">
        <v>161</v>
      </c>
      <c r="E38" t="s" s="5">
        <v>398</v>
      </c>
      <c r="F38" t="s" s="5">
        <v>399</v>
      </c>
      <c r="G38" t="s" s="5">
        <v>400</v>
      </c>
      <c r="H38" t="s" s="5">
        <v>401</v>
      </c>
      <c r="I38" t="s" s="5">
        <v>402</v>
      </c>
      <c r="J38" t="s" s="5">
        <v>403</v>
      </c>
      <c r="K38" t="s" s="11">
        <v>132</v>
      </c>
      <c r="L38" t="s" s="5">
        <v>404</v>
      </c>
      <c r="M38" t="s" s="5">
        <v>405</v>
      </c>
      <c r="N38" t="s" s="5">
        <v>8</v>
      </c>
    </row>
    <row r="39" ht="38.0" customHeight="true">
      <c r="A39" t="s" s="6">
        <v>406</v>
      </c>
      <c r="B39" t="s" s="6">
        <v>383</v>
      </c>
      <c r="C39" t="s" s="6">
        <v>407</v>
      </c>
      <c r="D39" t="s" s="6">
        <v>161</v>
      </c>
      <c r="E39" t="s" s="6">
        <v>408</v>
      </c>
      <c r="F39" t="s" s="6">
        <v>409</v>
      </c>
      <c r="G39" t="s" s="6">
        <v>410</v>
      </c>
      <c r="H39" t="s" s="6">
        <v>411</v>
      </c>
      <c r="I39" t="s" s="6">
        <v>412</v>
      </c>
      <c r="J39" t="s" s="6">
        <v>207</v>
      </c>
      <c r="K39" t="s" s="10">
        <v>122</v>
      </c>
      <c r="L39" s="6"/>
      <c r="M39" t="s" s="6">
        <v>391</v>
      </c>
      <c r="N39" t="s" s="6">
        <v>8</v>
      </c>
    </row>
    <row r="40" ht="38.0" customHeight="true">
      <c r="A40" t="s" s="5">
        <v>413</v>
      </c>
      <c r="B40" t="s" s="5">
        <v>383</v>
      </c>
      <c r="C40" t="s" s="5">
        <v>414</v>
      </c>
      <c r="D40" t="s" s="5">
        <v>161</v>
      </c>
      <c r="E40" t="s" s="5">
        <v>408</v>
      </c>
      <c r="F40" t="s" s="5">
        <v>409</v>
      </c>
      <c r="G40" t="s" s="5">
        <v>415</v>
      </c>
      <c r="H40" t="s" s="5">
        <v>411</v>
      </c>
      <c r="I40" t="s" s="5">
        <v>416</v>
      </c>
      <c r="J40" t="s" s="5">
        <v>417</v>
      </c>
      <c r="K40" t="s" s="10">
        <v>122</v>
      </c>
      <c r="L40" s="5"/>
      <c r="M40" t="s" s="5">
        <v>391</v>
      </c>
      <c r="N40" t="s" s="5">
        <v>8</v>
      </c>
    </row>
    <row r="41" ht="38.0" customHeight="true">
      <c r="A41" t="s" s="6">
        <v>418</v>
      </c>
      <c r="B41" t="s" s="6">
        <v>383</v>
      </c>
      <c r="C41" t="s" s="6">
        <v>419</v>
      </c>
      <c r="D41" t="s" s="6">
        <v>161</v>
      </c>
      <c r="E41" t="s" s="6">
        <v>420</v>
      </c>
      <c r="F41" t="s" s="6">
        <v>421</v>
      </c>
      <c r="G41" t="s" s="6">
        <v>422</v>
      </c>
      <c r="H41" t="s" s="6">
        <v>423</v>
      </c>
      <c r="I41" t="s" s="6">
        <v>424</v>
      </c>
      <c r="J41" t="s" s="6">
        <v>425</v>
      </c>
      <c r="K41" t="s" s="10">
        <v>122</v>
      </c>
      <c r="L41" s="6"/>
      <c r="M41" t="s" s="6">
        <v>426</v>
      </c>
      <c r="N41" t="s" s="6">
        <v>8</v>
      </c>
    </row>
    <row r="42" ht="38.0" customHeight="true">
      <c r="A42" t="s" s="5">
        <v>427</v>
      </c>
      <c r="B42" t="s" s="5">
        <v>383</v>
      </c>
      <c r="C42" t="s" s="5">
        <v>428</v>
      </c>
      <c r="D42" t="s" s="5">
        <v>195</v>
      </c>
      <c r="E42" t="s" s="5">
        <v>420</v>
      </c>
      <c r="F42" t="s" s="5">
        <v>429</v>
      </c>
      <c r="G42" t="s" s="5">
        <v>430</v>
      </c>
      <c r="H42" t="s" s="5">
        <v>431</v>
      </c>
      <c r="I42" t="s" s="5">
        <v>432</v>
      </c>
      <c r="J42" t="s" s="5">
        <v>433</v>
      </c>
      <c r="K42" t="s" s="10">
        <v>122</v>
      </c>
      <c r="L42" s="5"/>
      <c r="M42" t="s" s="5">
        <v>168</v>
      </c>
      <c r="N42" t="s" s="5">
        <v>8</v>
      </c>
    </row>
    <row r="43" ht="38.0" customHeight="true">
      <c r="A43" t="s" s="6">
        <v>434</v>
      </c>
      <c r="B43" t="s" s="6">
        <v>383</v>
      </c>
      <c r="C43" t="s" s="6">
        <v>68</v>
      </c>
      <c r="D43" t="s" s="6">
        <v>161</v>
      </c>
      <c r="E43" t="s" s="6">
        <v>435</v>
      </c>
      <c r="F43" t="s" s="6">
        <v>436</v>
      </c>
      <c r="G43" t="s" s="6">
        <v>437</v>
      </c>
      <c r="H43" t="s" s="6">
        <v>438</v>
      </c>
      <c r="I43" t="s" s="6">
        <v>439</v>
      </c>
      <c r="J43" t="s" s="6">
        <v>440</v>
      </c>
      <c r="K43" t="s" s="10">
        <v>122</v>
      </c>
      <c r="L43" s="6"/>
      <c r="M43" t="s" s="6">
        <v>441</v>
      </c>
      <c r="N43" t="s" s="6">
        <v>8</v>
      </c>
    </row>
    <row r="44" ht="38.0" customHeight="true">
      <c r="A44" t="s" s="5">
        <v>442</v>
      </c>
      <c r="B44" t="s" s="5">
        <v>383</v>
      </c>
      <c r="C44" t="s" s="5">
        <v>443</v>
      </c>
      <c r="D44" t="s" s="5">
        <v>161</v>
      </c>
      <c r="E44" t="s" s="5">
        <v>435</v>
      </c>
      <c r="F44" t="s" s="5">
        <v>444</v>
      </c>
      <c r="G44" t="s" s="5">
        <v>445</v>
      </c>
      <c r="H44" t="s" s="5">
        <v>446</v>
      </c>
      <c r="I44" t="s" s="5">
        <v>447</v>
      </c>
      <c r="J44" t="s" s="5">
        <v>448</v>
      </c>
      <c r="K44" t="s" s="10">
        <v>122</v>
      </c>
      <c r="L44" s="5"/>
      <c r="M44" t="s" s="5">
        <v>449</v>
      </c>
      <c r="N44" t="s" s="5">
        <v>8</v>
      </c>
    </row>
    <row r="45" ht="38.0" customHeight="true">
      <c r="A45" t="s" s="6">
        <v>450</v>
      </c>
      <c r="B45" t="s" s="6">
        <v>383</v>
      </c>
      <c r="C45" t="s" s="6">
        <v>451</v>
      </c>
      <c r="D45" t="s" s="6">
        <v>161</v>
      </c>
      <c r="E45" t="s" s="6">
        <v>452</v>
      </c>
      <c r="F45" t="s" s="6">
        <v>453</v>
      </c>
      <c r="G45" t="s" s="6">
        <v>454</v>
      </c>
      <c r="H45" t="s" s="6">
        <v>455</v>
      </c>
      <c r="I45" t="s" s="6">
        <v>456</v>
      </c>
      <c r="J45" t="s" s="6">
        <v>457</v>
      </c>
      <c r="K45" t="s" s="10">
        <v>122</v>
      </c>
      <c r="L45" s="6"/>
      <c r="M45" t="s" s="6">
        <v>348</v>
      </c>
      <c r="N45" t="s" s="6">
        <v>8</v>
      </c>
    </row>
    <row r="46" ht="48.0" customHeight="true">
      <c r="A46" t="s" s="5">
        <v>458</v>
      </c>
      <c r="B46" t="s" s="5">
        <v>383</v>
      </c>
      <c r="C46" t="s" s="5">
        <v>459</v>
      </c>
      <c r="D46" t="s" s="5">
        <v>161</v>
      </c>
      <c r="E46" t="s" s="5">
        <v>460</v>
      </c>
      <c r="F46" t="s" s="5">
        <v>461</v>
      </c>
      <c r="G46" t="s" s="5">
        <v>462</v>
      </c>
      <c r="H46" t="s" s="5">
        <v>463</v>
      </c>
      <c r="I46" t="s" s="5">
        <v>464</v>
      </c>
      <c r="J46" t="s" s="5">
        <v>457</v>
      </c>
      <c r="K46" t="s" s="10">
        <v>122</v>
      </c>
      <c r="L46" s="5"/>
      <c r="M46" t="s" s="5">
        <v>348</v>
      </c>
      <c r="N46" t="s" s="5">
        <v>8</v>
      </c>
    </row>
    <row r="47" ht="48.0" customHeight="true">
      <c r="A47" t="s" s="6">
        <v>465</v>
      </c>
      <c r="B47" t="s" s="6">
        <v>383</v>
      </c>
      <c r="C47" t="s" s="6">
        <v>466</v>
      </c>
      <c r="D47" t="s" s="6">
        <v>161</v>
      </c>
      <c r="E47" t="s" s="6">
        <v>210</v>
      </c>
      <c r="F47" t="s" s="6">
        <v>188</v>
      </c>
      <c r="G47" t="s" s="6">
        <v>467</v>
      </c>
      <c r="H47" t="s" s="6">
        <v>468</v>
      </c>
      <c r="I47" t="s" s="6">
        <v>206</v>
      </c>
      <c r="J47" t="s" s="6">
        <v>359</v>
      </c>
      <c r="K47" t="s" s="11">
        <v>132</v>
      </c>
      <c r="L47" t="s" s="6">
        <v>215</v>
      </c>
      <c r="M47" t="s" s="6">
        <v>216</v>
      </c>
      <c r="N47" t="s" s="6">
        <v>8</v>
      </c>
    </row>
    <row r="48" ht="48.0" customHeight="true">
      <c r="A48" t="s" s="5">
        <v>469</v>
      </c>
      <c r="B48" t="s" s="5">
        <v>383</v>
      </c>
      <c r="C48" t="s" s="5">
        <v>470</v>
      </c>
      <c r="D48" t="s" s="5">
        <v>195</v>
      </c>
      <c r="E48" t="s" s="5">
        <v>82</v>
      </c>
      <c r="F48" t="s" s="5">
        <v>471</v>
      </c>
      <c r="G48" t="s" s="5">
        <v>472</v>
      </c>
      <c r="H48" t="s" s="5">
        <v>473</v>
      </c>
      <c r="I48" t="s" s="5">
        <v>474</v>
      </c>
      <c r="J48" t="s" s="5">
        <v>475</v>
      </c>
      <c r="K48" t="s" s="11">
        <v>132</v>
      </c>
      <c r="L48" t="s" s="5">
        <v>476</v>
      </c>
      <c r="M48" t="s" s="5">
        <v>297</v>
      </c>
      <c r="N48" t="s" s="5">
        <v>8</v>
      </c>
    </row>
    <row r="49" ht="38.0" customHeight="true">
      <c r="A49" t="s" s="6">
        <v>477</v>
      </c>
      <c r="B49" t="s" s="6">
        <v>383</v>
      </c>
      <c r="C49" t="s" s="6">
        <v>478</v>
      </c>
      <c r="D49" t="s" s="6">
        <v>161</v>
      </c>
      <c r="E49" t="s" s="6">
        <v>479</v>
      </c>
      <c r="F49" t="s" s="6">
        <v>480</v>
      </c>
      <c r="G49" t="s" s="6">
        <v>481</v>
      </c>
      <c r="H49" t="s" s="6">
        <v>482</v>
      </c>
      <c r="I49" t="s" s="6">
        <v>483</v>
      </c>
      <c r="J49" t="s" s="6">
        <v>484</v>
      </c>
      <c r="K49" t="s" s="10">
        <v>122</v>
      </c>
      <c r="L49" s="6"/>
      <c r="M49" t="s" s="6">
        <v>485</v>
      </c>
      <c r="N49" t="s" s="6">
        <v>8</v>
      </c>
    </row>
    <row r="50" ht="38.0" customHeight="true">
      <c r="A50" t="s" s="5">
        <v>486</v>
      </c>
      <c r="B50" t="s" s="5">
        <v>487</v>
      </c>
      <c r="C50" t="s" s="5">
        <v>488</v>
      </c>
      <c r="D50" t="s" s="5">
        <v>161</v>
      </c>
      <c r="E50" t="s" s="5">
        <v>489</v>
      </c>
      <c r="F50" t="s" s="5">
        <v>490</v>
      </c>
      <c r="G50" t="s" s="5">
        <v>491</v>
      </c>
      <c r="H50" t="s" s="5">
        <v>165</v>
      </c>
      <c r="I50" t="s" s="5">
        <v>492</v>
      </c>
      <c r="J50" t="s" s="5">
        <v>493</v>
      </c>
      <c r="K50" t="s" s="10">
        <v>122</v>
      </c>
      <c r="L50" s="5"/>
      <c r="M50" t="s" s="5">
        <v>168</v>
      </c>
      <c r="N50" t="s" s="5">
        <v>8</v>
      </c>
    </row>
    <row r="51" ht="38.0" customHeight="true">
      <c r="A51" t="s" s="6">
        <v>494</v>
      </c>
      <c r="B51" t="s" s="6">
        <v>487</v>
      </c>
      <c r="C51" t="s" s="6">
        <v>495</v>
      </c>
      <c r="D51" t="s" s="6">
        <v>161</v>
      </c>
      <c r="E51" t="s" s="6">
        <v>162</v>
      </c>
      <c r="F51" t="s" s="6">
        <v>237</v>
      </c>
      <c r="G51" t="s" s="6">
        <v>496</v>
      </c>
      <c r="H51" t="s" s="6">
        <v>497</v>
      </c>
      <c r="I51" t="s" s="6">
        <v>166</v>
      </c>
      <c r="J51" t="s" s="6">
        <v>167</v>
      </c>
      <c r="K51" t="s" s="10">
        <v>122</v>
      </c>
      <c r="L51" s="6"/>
      <c r="M51" t="s" s="6">
        <v>168</v>
      </c>
      <c r="N51" t="s" s="6">
        <v>8</v>
      </c>
    </row>
    <row r="52" ht="38.0" customHeight="true">
      <c r="A52" t="s" s="5">
        <v>498</v>
      </c>
      <c r="B52" t="s" s="5">
        <v>487</v>
      </c>
      <c r="C52" t="s" s="5">
        <v>499</v>
      </c>
      <c r="D52" t="s" s="5">
        <v>161</v>
      </c>
      <c r="E52" t="s" s="5">
        <v>500</v>
      </c>
      <c r="F52" t="s" s="5">
        <v>220</v>
      </c>
      <c r="G52" t="s" s="5">
        <v>501</v>
      </c>
      <c r="H52" t="s" s="5">
        <v>502</v>
      </c>
      <c r="I52" t="s" s="5">
        <v>503</v>
      </c>
      <c r="J52" t="s" s="5">
        <v>504</v>
      </c>
      <c r="K52" t="s" s="10">
        <v>122</v>
      </c>
      <c r="L52" s="5"/>
      <c r="M52" t="s" s="5">
        <v>505</v>
      </c>
      <c r="N52" t="s" s="5">
        <v>8</v>
      </c>
    </row>
    <row r="53" ht="38.0" customHeight="true">
      <c r="A53" t="s" s="6">
        <v>506</v>
      </c>
      <c r="B53" t="s" s="6">
        <v>487</v>
      </c>
      <c r="C53" t="s" s="6">
        <v>507</v>
      </c>
      <c r="D53" t="s" s="6">
        <v>161</v>
      </c>
      <c r="E53" t="s" s="6">
        <v>500</v>
      </c>
      <c r="F53" t="s" s="6">
        <v>508</v>
      </c>
      <c r="G53" t="s" s="6">
        <v>509</v>
      </c>
      <c r="H53" t="s" s="6">
        <v>510</v>
      </c>
      <c r="I53" t="s" s="6">
        <v>511</v>
      </c>
      <c r="J53" t="s" s="6">
        <v>512</v>
      </c>
      <c r="K53" t="s" s="10">
        <v>122</v>
      </c>
      <c r="L53" s="6"/>
      <c r="M53" t="s" s="6">
        <v>513</v>
      </c>
      <c r="N53" t="s" s="6">
        <v>8</v>
      </c>
    </row>
    <row r="54" ht="38.0" customHeight="true">
      <c r="A54" t="s" s="5">
        <v>514</v>
      </c>
      <c r="B54" t="s" s="5">
        <v>487</v>
      </c>
      <c r="C54" t="s" s="5">
        <v>515</v>
      </c>
      <c r="D54" t="s" s="5">
        <v>161</v>
      </c>
      <c r="E54" t="s" s="5">
        <v>516</v>
      </c>
      <c r="F54" t="s" s="5">
        <v>517</v>
      </c>
      <c r="G54" t="s" s="5">
        <v>518</v>
      </c>
      <c r="H54" t="s" s="5">
        <v>519</v>
      </c>
      <c r="I54" t="s" s="5">
        <v>520</v>
      </c>
      <c r="J54" t="s" s="5">
        <v>521</v>
      </c>
      <c r="K54" t="s" s="10">
        <v>122</v>
      </c>
      <c r="L54" s="5"/>
      <c r="M54" t="s" s="5">
        <v>505</v>
      </c>
      <c r="N54" t="s" s="5">
        <v>8</v>
      </c>
    </row>
    <row r="55" ht="38.0" customHeight="true">
      <c r="A55" t="s" s="6">
        <v>522</v>
      </c>
      <c r="B55" t="s" s="6">
        <v>487</v>
      </c>
      <c r="C55" t="s" s="6">
        <v>523</v>
      </c>
      <c r="D55" t="s" s="6">
        <v>195</v>
      </c>
      <c r="E55" t="s" s="6">
        <v>524</v>
      </c>
      <c r="F55" t="s" s="6">
        <v>525</v>
      </c>
      <c r="G55" t="s" s="6">
        <v>526</v>
      </c>
      <c r="H55" t="s" s="6">
        <v>527</v>
      </c>
      <c r="I55" t="s" s="6">
        <v>528</v>
      </c>
      <c r="J55" t="s" s="6">
        <v>529</v>
      </c>
      <c r="K55" t="s" s="10">
        <v>122</v>
      </c>
      <c r="L55" s="6"/>
      <c r="M55" t="s" s="6">
        <v>513</v>
      </c>
      <c r="N55" t="s" s="6">
        <v>8</v>
      </c>
    </row>
    <row r="56" ht="38.0" customHeight="true">
      <c r="A56" t="s" s="5">
        <v>530</v>
      </c>
      <c r="B56" t="s" s="5">
        <v>487</v>
      </c>
      <c r="C56" t="s" s="5">
        <v>531</v>
      </c>
      <c r="D56" t="s" s="5">
        <v>161</v>
      </c>
      <c r="E56" t="s" s="5">
        <v>532</v>
      </c>
      <c r="F56" t="s" s="5">
        <v>533</v>
      </c>
      <c r="G56" t="s" s="5">
        <v>534</v>
      </c>
      <c r="H56" t="s" s="5">
        <v>535</v>
      </c>
      <c r="I56" t="s" s="5">
        <v>536</v>
      </c>
      <c r="J56" t="s" s="5">
        <v>537</v>
      </c>
      <c r="K56" t="s" s="10">
        <v>122</v>
      </c>
      <c r="L56" s="5"/>
      <c r="M56" t="s" s="5">
        <v>513</v>
      </c>
      <c r="N56" t="s" s="5">
        <v>8</v>
      </c>
    </row>
    <row r="57" ht="38.0" customHeight="true">
      <c r="A57" t="s" s="6">
        <v>538</v>
      </c>
      <c r="B57" t="s" s="6">
        <v>487</v>
      </c>
      <c r="C57" t="s" s="6">
        <v>539</v>
      </c>
      <c r="D57" t="s" s="6">
        <v>161</v>
      </c>
      <c r="E57" t="s" s="6">
        <v>540</v>
      </c>
      <c r="F57" t="s" s="6">
        <v>541</v>
      </c>
      <c r="G57" t="s" s="6">
        <v>542</v>
      </c>
      <c r="H57" t="s" s="6">
        <v>519</v>
      </c>
      <c r="I57" t="s" s="6">
        <v>543</v>
      </c>
      <c r="J57" t="s" s="6">
        <v>544</v>
      </c>
      <c r="K57" t="s" s="11">
        <v>132</v>
      </c>
      <c r="L57" t="s" s="6">
        <v>545</v>
      </c>
      <c r="M57" t="s" s="6">
        <v>546</v>
      </c>
      <c r="N57" t="s" s="6">
        <v>8</v>
      </c>
    </row>
    <row r="58" ht="38.0" customHeight="true">
      <c r="A58" t="s" s="5">
        <v>547</v>
      </c>
      <c r="B58" t="s" s="5">
        <v>487</v>
      </c>
      <c r="C58" t="s" s="5">
        <v>548</v>
      </c>
      <c r="D58" t="s" s="5">
        <v>195</v>
      </c>
      <c r="E58" t="s" s="5">
        <v>549</v>
      </c>
      <c r="F58" t="s" s="5">
        <v>550</v>
      </c>
      <c r="G58" t="s" s="5">
        <v>551</v>
      </c>
      <c r="H58" t="s" s="5">
        <v>552</v>
      </c>
      <c r="I58" t="s" s="5">
        <v>553</v>
      </c>
      <c r="J58" t="s" s="5">
        <v>554</v>
      </c>
      <c r="K58" t="s" s="11">
        <v>132</v>
      </c>
      <c r="L58" t="s" s="5">
        <v>555</v>
      </c>
      <c r="M58" t="s" s="5">
        <v>556</v>
      </c>
      <c r="N58" t="s" s="5">
        <v>8</v>
      </c>
    </row>
    <row r="59" ht="38.0" customHeight="true">
      <c r="A59" t="s" s="6">
        <v>557</v>
      </c>
      <c r="B59" t="s" s="6">
        <v>487</v>
      </c>
      <c r="C59" t="s" s="6">
        <v>558</v>
      </c>
      <c r="D59" t="s" s="6">
        <v>161</v>
      </c>
      <c r="E59" t="s" s="6">
        <v>559</v>
      </c>
      <c r="F59" t="s" s="6">
        <v>560</v>
      </c>
      <c r="G59" t="s" s="6">
        <v>561</v>
      </c>
      <c r="H59" t="s" s="6">
        <v>562</v>
      </c>
      <c r="I59" t="s" s="6">
        <v>563</v>
      </c>
      <c r="J59" t="s" s="6">
        <v>564</v>
      </c>
      <c r="K59" t="s" s="11">
        <v>132</v>
      </c>
      <c r="L59" t="s" s="6">
        <v>565</v>
      </c>
      <c r="M59" t="s" s="6">
        <v>297</v>
      </c>
      <c r="N59" t="s" s="6">
        <v>8</v>
      </c>
    </row>
    <row r="60" ht="38.0" customHeight="true">
      <c r="A60" t="s" s="5">
        <v>566</v>
      </c>
      <c r="B60" t="s" s="5">
        <v>487</v>
      </c>
      <c r="C60" t="s" s="5">
        <v>567</v>
      </c>
      <c r="D60" t="s" s="5">
        <v>195</v>
      </c>
      <c r="E60" t="s" s="5">
        <v>568</v>
      </c>
      <c r="F60" t="s" s="5">
        <v>569</v>
      </c>
      <c r="G60" t="s" s="5">
        <v>570</v>
      </c>
      <c r="H60" t="s" s="5">
        <v>571</v>
      </c>
      <c r="I60" t="s" s="5">
        <v>572</v>
      </c>
      <c r="J60" t="s" s="5">
        <v>573</v>
      </c>
      <c r="K60" t="s" s="11">
        <v>132</v>
      </c>
      <c r="L60" t="s" s="5">
        <v>574</v>
      </c>
      <c r="M60" t="s" s="5">
        <v>297</v>
      </c>
      <c r="N60" t="s" s="5">
        <v>8</v>
      </c>
    </row>
    <row r="61" ht="38.0" customHeight="true">
      <c r="A61" t="s" s="6">
        <v>575</v>
      </c>
      <c r="B61" t="s" s="6">
        <v>487</v>
      </c>
      <c r="C61" t="s" s="6">
        <v>576</v>
      </c>
      <c r="D61" t="s" s="6">
        <v>195</v>
      </c>
      <c r="E61" t="s" s="6">
        <v>577</v>
      </c>
      <c r="F61" t="s" s="6">
        <v>578</v>
      </c>
      <c r="G61" t="s" s="6">
        <v>579</v>
      </c>
      <c r="H61" t="s" s="6">
        <v>580</v>
      </c>
      <c r="I61" t="s" s="6">
        <v>581</v>
      </c>
      <c r="J61" t="s" s="6">
        <v>582</v>
      </c>
      <c r="K61" t="s" s="11">
        <v>132</v>
      </c>
      <c r="L61" t="s" s="6">
        <v>583</v>
      </c>
      <c r="M61" t="s" s="6">
        <v>297</v>
      </c>
      <c r="N61" t="s" s="6">
        <v>8</v>
      </c>
    </row>
    <row r="62" ht="38.0" customHeight="true">
      <c r="A62" t="s" s="5">
        <v>584</v>
      </c>
      <c r="B62" t="s" s="5">
        <v>487</v>
      </c>
      <c r="C62" t="s" s="5">
        <v>585</v>
      </c>
      <c r="D62" t="s" s="5">
        <v>195</v>
      </c>
      <c r="E62" t="s" s="5">
        <v>586</v>
      </c>
      <c r="F62" t="s" s="5">
        <v>587</v>
      </c>
      <c r="G62" t="s" s="5">
        <v>588</v>
      </c>
      <c r="H62" t="s" s="5">
        <v>589</v>
      </c>
      <c r="I62" t="s" s="5">
        <v>590</v>
      </c>
      <c r="J62" t="s" s="5">
        <v>591</v>
      </c>
      <c r="K62" t="s" s="10">
        <v>122</v>
      </c>
      <c r="L62" s="5"/>
      <c r="M62" t="s" s="5">
        <v>513</v>
      </c>
      <c r="N62" t="s" s="5">
        <v>8</v>
      </c>
    </row>
    <row r="63" ht="48.0" customHeight="true">
      <c r="A63" t="s" s="6">
        <v>592</v>
      </c>
      <c r="B63" t="s" s="6">
        <v>487</v>
      </c>
      <c r="C63" t="s" s="6">
        <v>593</v>
      </c>
      <c r="D63" t="s" s="6">
        <v>161</v>
      </c>
      <c r="E63" t="s" s="6">
        <v>594</v>
      </c>
      <c r="F63" t="s" s="6">
        <v>595</v>
      </c>
      <c r="G63" t="s" s="6">
        <v>596</v>
      </c>
      <c r="H63" t="s" s="6">
        <v>165</v>
      </c>
      <c r="I63" t="s" s="6">
        <v>597</v>
      </c>
      <c r="J63" t="s" s="6">
        <v>598</v>
      </c>
      <c r="K63" t="s" s="10">
        <v>122</v>
      </c>
      <c r="L63" s="6"/>
      <c r="M63" t="s" s="6">
        <v>599</v>
      </c>
      <c r="N63" t="s" s="6">
        <v>8</v>
      </c>
    </row>
    <row r="64" ht="48.0" customHeight="true">
      <c r="A64" t="s" s="5">
        <v>600</v>
      </c>
      <c r="B64" t="s" s="5">
        <v>601</v>
      </c>
      <c r="C64" t="s" s="5">
        <v>602</v>
      </c>
      <c r="D64" t="s" s="5">
        <v>161</v>
      </c>
      <c r="E64" t="s" s="5">
        <v>603</v>
      </c>
      <c r="F64" t="s" s="5">
        <v>604</v>
      </c>
      <c r="G64" t="s" s="5">
        <v>605</v>
      </c>
      <c r="H64" t="s" s="5">
        <v>606</v>
      </c>
      <c r="I64" t="s" s="5">
        <v>607</v>
      </c>
      <c r="J64" t="s" s="5">
        <v>608</v>
      </c>
      <c r="K64" t="s" s="10">
        <v>122</v>
      </c>
      <c r="L64" s="5"/>
      <c r="M64" t="s" s="5">
        <v>609</v>
      </c>
      <c r="N64" t="s" s="5">
        <v>8</v>
      </c>
    </row>
    <row r="65" ht="38.0" customHeight="true">
      <c r="A65" t="s" s="6">
        <v>610</v>
      </c>
      <c r="B65" t="s" s="6">
        <v>601</v>
      </c>
      <c r="C65" t="s" s="6">
        <v>611</v>
      </c>
      <c r="D65" t="s" s="6">
        <v>161</v>
      </c>
      <c r="E65" t="s" s="6">
        <v>603</v>
      </c>
      <c r="F65" t="s" s="6">
        <v>612</v>
      </c>
      <c r="G65" t="s" s="6">
        <v>613</v>
      </c>
      <c r="H65" t="s" s="6">
        <v>614</v>
      </c>
      <c r="I65" t="s" s="6">
        <v>615</v>
      </c>
      <c r="J65" t="s" s="6">
        <v>616</v>
      </c>
      <c r="K65" t="s" s="10">
        <v>122</v>
      </c>
      <c r="L65" s="6"/>
      <c r="M65" t="s" s="6">
        <v>617</v>
      </c>
      <c r="N65" t="s" s="6">
        <v>8</v>
      </c>
    </row>
    <row r="66" ht="38.0" customHeight="true">
      <c r="A66" t="s" s="5">
        <v>618</v>
      </c>
      <c r="B66" t="s" s="5">
        <v>601</v>
      </c>
      <c r="C66" t="s" s="5">
        <v>619</v>
      </c>
      <c r="D66" t="s" s="5">
        <v>195</v>
      </c>
      <c r="E66" t="s" s="5">
        <v>620</v>
      </c>
      <c r="F66" t="s" s="5">
        <v>621</v>
      </c>
      <c r="G66" t="s" s="5">
        <v>622</v>
      </c>
      <c r="H66" t="s" s="5">
        <v>623</v>
      </c>
      <c r="I66" t="s" s="5">
        <v>624</v>
      </c>
      <c r="J66" t="s" s="5">
        <v>625</v>
      </c>
      <c r="K66" t="s" s="10">
        <v>122</v>
      </c>
      <c r="L66" s="5"/>
      <c r="M66" t="s" s="5">
        <v>626</v>
      </c>
      <c r="N66" t="s" s="5">
        <v>8</v>
      </c>
    </row>
    <row r="67" ht="38.0" customHeight="true">
      <c r="A67" t="s" s="6">
        <v>627</v>
      </c>
      <c r="B67" t="s" s="6">
        <v>601</v>
      </c>
      <c r="C67" t="s" s="6">
        <v>628</v>
      </c>
      <c r="D67" t="s" s="6">
        <v>161</v>
      </c>
      <c r="E67" t="s" s="6">
        <v>102</v>
      </c>
      <c r="F67" t="s" s="6">
        <v>629</v>
      </c>
      <c r="G67" t="s" s="6">
        <v>630</v>
      </c>
      <c r="H67" t="s" s="6">
        <v>631</v>
      </c>
      <c r="I67" t="s" s="6">
        <v>632</v>
      </c>
      <c r="J67" t="s" s="6">
        <v>633</v>
      </c>
      <c r="K67" t="s" s="10">
        <v>122</v>
      </c>
      <c r="L67" s="6"/>
      <c r="M67" t="s" s="6">
        <v>634</v>
      </c>
      <c r="N67" t="s" s="6">
        <v>8</v>
      </c>
    </row>
    <row r="68" ht="38.0" customHeight="true">
      <c r="A68" t="s" s="5">
        <v>635</v>
      </c>
      <c r="B68" t="s" s="5">
        <v>601</v>
      </c>
      <c r="C68" t="s" s="5">
        <v>636</v>
      </c>
      <c r="D68" t="s" s="5">
        <v>161</v>
      </c>
      <c r="E68" t="s" s="5">
        <v>637</v>
      </c>
      <c r="F68" t="s" s="5">
        <v>638</v>
      </c>
      <c r="G68" t="s" s="5">
        <v>639</v>
      </c>
      <c r="H68" t="s" s="5">
        <v>640</v>
      </c>
      <c r="I68" t="s" s="5">
        <v>641</v>
      </c>
      <c r="J68" t="s" s="5">
        <v>642</v>
      </c>
      <c r="K68" t="s" s="10">
        <v>122</v>
      </c>
      <c r="L68" t="s" s="5">
        <v>643</v>
      </c>
      <c r="M68" t="s" s="5">
        <v>644</v>
      </c>
      <c r="N68" t="s" s="5">
        <v>8</v>
      </c>
    </row>
    <row r="69" ht="38.0" customHeight="true">
      <c r="A69" t="s" s="6">
        <v>645</v>
      </c>
      <c r="B69" t="s" s="6">
        <v>601</v>
      </c>
      <c r="C69" t="s" s="6">
        <v>646</v>
      </c>
      <c r="D69" t="s" s="6">
        <v>161</v>
      </c>
      <c r="E69" t="s" s="6">
        <v>102</v>
      </c>
      <c r="F69" t="s" s="6">
        <v>647</v>
      </c>
      <c r="G69" t="s" s="6">
        <v>648</v>
      </c>
      <c r="H69" t="s" s="6">
        <v>649</v>
      </c>
      <c r="I69" t="s" s="6">
        <v>650</v>
      </c>
      <c r="J69" t="s" s="6">
        <v>651</v>
      </c>
      <c r="K69" t="s" s="10">
        <v>122</v>
      </c>
      <c r="L69" t="s" s="6">
        <v>555</v>
      </c>
      <c r="M69" t="s" s="6">
        <v>652</v>
      </c>
      <c r="N69" t="s" s="6">
        <v>8</v>
      </c>
    </row>
    <row r="70" ht="48.0" customHeight="true">
      <c r="A70" t="s" s="5">
        <v>653</v>
      </c>
      <c r="B70" t="s" s="5">
        <v>601</v>
      </c>
      <c r="C70" t="s" s="5">
        <v>654</v>
      </c>
      <c r="D70" t="s" s="5">
        <v>195</v>
      </c>
      <c r="E70" t="s" s="5">
        <v>655</v>
      </c>
      <c r="F70" t="s" s="5">
        <v>656</v>
      </c>
      <c r="G70" t="s" s="5">
        <v>657</v>
      </c>
      <c r="H70" t="s" s="5">
        <v>658</v>
      </c>
      <c r="I70" t="s" s="5">
        <v>659</v>
      </c>
      <c r="J70" t="s" s="5">
        <v>660</v>
      </c>
      <c r="K70" t="s" s="13">
        <v>661</v>
      </c>
      <c r="L70" s="5"/>
      <c r="M70" t="s" s="5">
        <v>662</v>
      </c>
      <c r="N70" t="s" s="5">
        <v>8</v>
      </c>
    </row>
    <row r="71" ht="38.0" customHeight="true">
      <c r="A71" t="s" s="6">
        <v>663</v>
      </c>
      <c r="B71" t="s" s="6">
        <v>601</v>
      </c>
      <c r="C71" t="s" s="6">
        <v>664</v>
      </c>
      <c r="D71" t="s" s="6">
        <v>195</v>
      </c>
      <c r="E71" t="s" s="6">
        <v>665</v>
      </c>
      <c r="F71" t="s" s="6">
        <v>666</v>
      </c>
      <c r="G71" t="s" s="6">
        <v>667</v>
      </c>
      <c r="H71" t="s" s="6">
        <v>668</v>
      </c>
      <c r="I71" t="s" s="6">
        <v>669</v>
      </c>
      <c r="J71" t="s" s="6">
        <v>670</v>
      </c>
      <c r="K71" t="s" s="10">
        <v>122</v>
      </c>
      <c r="L71" s="6"/>
      <c r="M71" t="s" s="6">
        <v>671</v>
      </c>
      <c r="N71" t="s" s="6">
        <v>8</v>
      </c>
    </row>
    <row r="72" ht="38.0" customHeight="true">
      <c r="A72" t="s" s="5">
        <v>672</v>
      </c>
      <c r="B72" t="s" s="5">
        <v>601</v>
      </c>
      <c r="C72" t="s" s="5">
        <v>673</v>
      </c>
      <c r="D72" t="s" s="5">
        <v>195</v>
      </c>
      <c r="E72" t="s" s="5">
        <v>674</v>
      </c>
      <c r="F72" t="s" s="5">
        <v>675</v>
      </c>
      <c r="G72" t="s" s="5">
        <v>676</v>
      </c>
      <c r="H72" t="s" s="5">
        <v>677</v>
      </c>
      <c r="I72" t="s" s="5">
        <v>678</v>
      </c>
      <c r="J72" t="s" s="5">
        <v>679</v>
      </c>
      <c r="K72" t="s" s="10">
        <v>122</v>
      </c>
      <c r="L72" s="5"/>
      <c r="M72" t="s" s="5">
        <v>671</v>
      </c>
      <c r="N72" t="s" s="5">
        <v>8</v>
      </c>
    </row>
    <row r="73" ht="38.0" customHeight="true">
      <c r="A73" t="s" s="6">
        <v>680</v>
      </c>
      <c r="B73" t="s" s="6">
        <v>601</v>
      </c>
      <c r="C73" t="s" s="6">
        <v>681</v>
      </c>
      <c r="D73" t="s" s="6">
        <v>195</v>
      </c>
      <c r="E73" t="s" s="6">
        <v>682</v>
      </c>
      <c r="F73" t="s" s="6">
        <v>683</v>
      </c>
      <c r="G73" t="s" s="6">
        <v>684</v>
      </c>
      <c r="H73" t="s" s="6">
        <v>685</v>
      </c>
      <c r="I73" t="s" s="6">
        <v>686</v>
      </c>
      <c r="J73" t="s" s="6">
        <v>687</v>
      </c>
      <c r="K73" t="s" s="11">
        <v>132</v>
      </c>
      <c r="L73" t="s" s="6">
        <v>688</v>
      </c>
      <c r="M73" t="s" s="6">
        <v>689</v>
      </c>
      <c r="N73" t="s" s="6">
        <v>8</v>
      </c>
    </row>
    <row r="74" ht="38.0" customHeight="true">
      <c r="A74" t="s" s="5">
        <v>690</v>
      </c>
      <c r="B74" t="s" s="5">
        <v>601</v>
      </c>
      <c r="C74" t="s" s="5">
        <v>691</v>
      </c>
      <c r="D74" t="s" s="5">
        <v>282</v>
      </c>
      <c r="E74" t="s" s="5">
        <v>692</v>
      </c>
      <c r="F74" t="s" s="5">
        <v>693</v>
      </c>
      <c r="G74" t="s" s="5">
        <v>694</v>
      </c>
      <c r="H74" t="s" s="5">
        <v>695</v>
      </c>
      <c r="I74" t="s" s="5">
        <v>696</v>
      </c>
      <c r="J74" t="s" s="5">
        <v>697</v>
      </c>
      <c r="K74" t="s" s="11">
        <v>132</v>
      </c>
      <c r="L74" t="s" s="5">
        <v>698</v>
      </c>
      <c r="M74" t="s" s="5">
        <v>689</v>
      </c>
      <c r="N74" t="s" s="5">
        <v>8</v>
      </c>
    </row>
    <row r="75" ht="38.0" customHeight="true">
      <c r="A75" t="s" s="6">
        <v>699</v>
      </c>
      <c r="B75" t="s" s="6">
        <v>601</v>
      </c>
      <c r="C75" t="s" s="6">
        <v>700</v>
      </c>
      <c r="D75" t="s" s="6">
        <v>195</v>
      </c>
      <c r="E75" t="s" s="6">
        <v>701</v>
      </c>
      <c r="F75" t="s" s="6">
        <v>702</v>
      </c>
      <c r="G75" t="s" s="6">
        <v>703</v>
      </c>
      <c r="H75" t="s" s="6">
        <v>704</v>
      </c>
      <c r="I75" t="s" s="6">
        <v>705</v>
      </c>
      <c r="J75" t="s" s="6">
        <v>706</v>
      </c>
      <c r="K75" t="s" s="11">
        <v>132</v>
      </c>
      <c r="L75" t="s" s="6">
        <v>707</v>
      </c>
      <c r="M75" t="s" s="6">
        <v>708</v>
      </c>
      <c r="N75" t="s" s="6">
        <v>8</v>
      </c>
    </row>
    <row r="76" ht="38.0" customHeight="true">
      <c r="A76" t="s" s="5">
        <v>709</v>
      </c>
      <c r="B76" t="s" s="5">
        <v>601</v>
      </c>
      <c r="C76" t="s" s="5">
        <v>710</v>
      </c>
      <c r="D76" t="s" s="5">
        <v>282</v>
      </c>
      <c r="E76" t="s" s="5">
        <v>102</v>
      </c>
      <c r="F76" t="s" s="5">
        <v>711</v>
      </c>
      <c r="G76" t="s" s="5">
        <v>712</v>
      </c>
      <c r="H76" t="s" s="5">
        <v>165</v>
      </c>
      <c r="I76" t="s" s="5">
        <v>713</v>
      </c>
      <c r="J76" t="s" s="5">
        <v>714</v>
      </c>
      <c r="K76" t="s" s="13">
        <v>661</v>
      </c>
      <c r="L76" t="s" s="5">
        <v>715</v>
      </c>
      <c r="M76" t="s" s="5">
        <v>716</v>
      </c>
      <c r="N76" t="s" s="5">
        <v>8</v>
      </c>
    </row>
    <row r="77" ht="38.0" customHeight="true">
      <c r="A77" t="s" s="6">
        <v>717</v>
      </c>
      <c r="B77" t="s" s="6">
        <v>601</v>
      </c>
      <c r="C77" t="s" s="6">
        <v>718</v>
      </c>
      <c r="D77" t="s" s="6">
        <v>195</v>
      </c>
      <c r="E77" t="s" s="6">
        <v>102</v>
      </c>
      <c r="F77" t="s" s="6">
        <v>719</v>
      </c>
      <c r="G77" t="s" s="6">
        <v>720</v>
      </c>
      <c r="H77" t="s" s="6">
        <v>721</v>
      </c>
      <c r="I77" t="s" s="6">
        <v>722</v>
      </c>
      <c r="J77" t="s" s="6">
        <v>723</v>
      </c>
      <c r="K77" t="s" s="13">
        <v>661</v>
      </c>
      <c r="L77" t="s" s="6">
        <v>724</v>
      </c>
      <c r="M77" t="s" s="6">
        <v>725</v>
      </c>
      <c r="N77" t="s" s="6">
        <v>8</v>
      </c>
    </row>
    <row r="78" ht="38.0" customHeight="true">
      <c r="A78" t="s" s="5">
        <v>726</v>
      </c>
      <c r="B78" t="s" s="5">
        <v>601</v>
      </c>
      <c r="C78" t="s" s="5">
        <v>727</v>
      </c>
      <c r="D78" t="s" s="5">
        <v>195</v>
      </c>
      <c r="E78" t="s" s="5">
        <v>728</v>
      </c>
      <c r="F78" t="s" s="5">
        <v>729</v>
      </c>
      <c r="G78" t="s" s="5">
        <v>730</v>
      </c>
      <c r="H78" t="s" s="5">
        <v>731</v>
      </c>
      <c r="I78" t="s" s="5">
        <v>732</v>
      </c>
      <c r="J78" t="s" s="5">
        <v>733</v>
      </c>
      <c r="K78" t="s" s="10">
        <v>122</v>
      </c>
      <c r="L78" s="5"/>
      <c r="M78" t="s" s="5">
        <v>734</v>
      </c>
      <c r="N78" t="s" s="5">
        <v>8</v>
      </c>
    </row>
  </sheetData>
  <autoFilter ref="A4:N78"/>
  <mergeCells count="2">
    <mergeCell ref="A1:N1"/>
    <mergeCell ref="A2:N2"/>
  </mergeCells>
  <conditionalFormatting sqref="K5:K78">
    <cfRule type="expression" dxfId="0" priority="1">
      <formula>$K5="通过"</formula>
    </cfRule>
  </conditionalFormatting>
  <conditionalFormatting sqref="K5:K78">
    <cfRule type="expression" dxfId="1" priority="2">
      <formula>$K5="失败"</formula>
    </cfRule>
  </conditionalFormatting>
  <conditionalFormatting sqref="K5:K78">
    <cfRule type="expression" dxfId="2" priority="3">
      <formula>$K5="阻塞"</formula>
    </cfRule>
  </conditionalFormatting>
  <conditionalFormatting sqref="K5:K78">
    <cfRule type="expression" dxfId="3" priority="4">
      <formula>$K5="未执行"</formula>
    </cfRule>
  </conditionalFormatting>
  <dataValidations count="2">
    <dataValidation type="list" sqref="D5:D78" allowBlank="true" errorStyle="stop" showDropDown="false" showErrorMessage="true" errorTitle="输入无效" error="请从下拉列表中选择有效值。">
      <formula1>"P0,P1,P2,P3"</formula1>
    </dataValidation>
    <dataValidation type="list" sqref="K5:K78" allowBlank="true" errorStyle="stop" showDropDown="false" showErrorMessage="true" errorTitle="输入无效" error="请从下拉列表中选择有效值。">
      <formula1>"通过,失败,阻塞,未执行"</formula1>
    </dataValidation>
  </dataValidations>
  <pageMargins bottom="0.5" footer="0.3" header="0.3" left="0.3" right="0.3" top="0.5"/>
  <pageSetup orientation="landscape" fitToWidth="1" fitToHeight="0"/>
  <headerFooter>
    <oddHeader>&amp;C&amp;B智能商城软件测试文档</oddHeader>
    <oddFooter>&amp;L生成日期：2026-07-12&amp;R第 &amp;P 页 / 共 &amp;N 页</oddFooter>
  </headerFooter>
</worksheet>
</file>

<file path=xl/worksheets/sheet3.xml><?xml version="1.0" encoding="utf-8"?>
<worksheet xmlns="http://schemas.openxmlformats.org/spreadsheetml/2006/main">
  <sheetPr>
    <tabColor rgb="FF0F766E"/>
    <pageSetUpPr fitToPage="true" autoPageBreaks="true"/>
  </sheetPr>
  <dimension ref="A1:H41"/>
  <sheetViews>
    <sheetView workbookViewId="0" showGridLines="false" zoomScale="90" tabSelected="false">
      <pane ySplit="3.0" state="frozen" topLeftCell="A4" activePane="bottomLeft"/>
      <selection pane="bottomLeft"/>
    </sheetView>
  </sheetViews>
  <sheetFormatPr defaultRowHeight="15.0"/>
  <cols>
    <col min="1" max="1" width="20.0" customWidth="true"/>
    <col min="2" max="2" width="25.0" customWidth="true"/>
    <col min="3" max="3" width="34.0" customWidth="true"/>
    <col min="4" max="4" width="24.0" customWidth="true"/>
    <col min="5" max="5" width="24.0" customWidth="true"/>
    <col min="6" max="6" width="28.0" customWidth="true"/>
    <col min="7" max="7" width="26.0" customWidth="true"/>
    <col min="8" max="8" width="24.0" customWidth="true"/>
  </cols>
  <sheetData>
    <row r="1" ht="34.0" customHeight="true">
      <c r="A1" s="1" t="s">
        <v>735</v>
      </c>
      <c r="B1" s="1"/>
      <c r="C1" s="1"/>
      <c r="D1" s="1"/>
      <c r="E1" s="1"/>
      <c r="F1" s="1"/>
      <c r="G1" s="1"/>
      <c r="H1" s="1"/>
    </row>
    <row r="2" ht="30.0" customHeight="true">
      <c r="A2" s="2" t="s">
        <v>736</v>
      </c>
      <c r="B2" s="2"/>
      <c r="C2" s="2"/>
      <c r="D2" s="2"/>
      <c r="E2" s="2"/>
      <c r="F2" s="2"/>
      <c r="G2" s="2"/>
      <c r="H2" s="2"/>
    </row>
    <row r="4" ht="27.0" customHeight="true">
      <c r="A4" s="3" t="s">
        <v>737</v>
      </c>
      <c r="B4" s="3"/>
      <c r="C4" s="3"/>
      <c r="D4" s="3"/>
      <c r="E4" s="3"/>
      <c r="F4" s="3"/>
      <c r="G4" s="3"/>
      <c r="H4" s="3"/>
    </row>
    <row r="5" ht="32.0" customHeight="true">
      <c r="A5" t="s" s="4">
        <v>738</v>
      </c>
      <c r="B5" t="s" s="4">
        <v>739</v>
      </c>
      <c r="C5" t="s" s="4">
        <v>740</v>
      </c>
      <c r="D5" t="s" s="4">
        <v>741</v>
      </c>
      <c r="E5" t="s" s="4">
        <v>742</v>
      </c>
      <c r="F5" t="s" s="4">
        <v>743</v>
      </c>
    </row>
    <row r="6" ht="38.0" customHeight="true">
      <c r="A6" t="s" s="5">
        <v>744</v>
      </c>
      <c r="B6" t="s" s="5">
        <v>745</v>
      </c>
      <c r="C6" t="s" s="5">
        <v>746</v>
      </c>
      <c r="D6" t="s" s="5">
        <v>747</v>
      </c>
      <c r="E6" t="s" s="5">
        <v>748</v>
      </c>
      <c r="F6" t="s" s="5">
        <v>749</v>
      </c>
    </row>
    <row r="7" ht="38.0" customHeight="true">
      <c r="A7" t="s" s="6">
        <v>750</v>
      </c>
      <c r="B7" t="s" s="6">
        <v>751</v>
      </c>
      <c r="C7" t="s" s="6">
        <v>752</v>
      </c>
      <c r="D7" t="s" s="6">
        <v>753</v>
      </c>
      <c r="E7" t="s" s="10">
        <v>754</v>
      </c>
      <c r="F7" t="s" s="6">
        <v>755</v>
      </c>
    </row>
    <row r="8" ht="38.0" customHeight="true">
      <c r="A8" t="s" s="5">
        <v>756</v>
      </c>
      <c r="B8" t="s" s="5">
        <v>757</v>
      </c>
      <c r="C8" t="s" s="5">
        <v>758</v>
      </c>
      <c r="D8" t="s" s="5">
        <v>759</v>
      </c>
      <c r="E8" t="s" s="10">
        <v>754</v>
      </c>
      <c r="F8" t="s" s="5">
        <v>760</v>
      </c>
    </row>
    <row r="9" ht="48.0" customHeight="true">
      <c r="A9" t="s" s="6">
        <v>761</v>
      </c>
      <c r="B9" t="s" s="6">
        <v>762</v>
      </c>
      <c r="C9" t="s" s="6">
        <v>763</v>
      </c>
      <c r="D9" t="s" s="6">
        <v>764</v>
      </c>
      <c r="E9" t="s" s="10">
        <v>754</v>
      </c>
      <c r="F9" t="s" s="6">
        <v>491</v>
      </c>
    </row>
    <row r="10" ht="38.0" customHeight="true">
      <c r="A10" t="s" s="5">
        <v>765</v>
      </c>
      <c r="B10" t="s" s="5">
        <v>766</v>
      </c>
      <c r="C10" t="s" s="5">
        <v>767</v>
      </c>
      <c r="D10" t="s" s="5">
        <v>768</v>
      </c>
      <c r="E10" t="s" s="10">
        <v>754</v>
      </c>
      <c r="F10" t="s" s="5">
        <v>769</v>
      </c>
    </row>
    <row r="11" ht="38.0" customHeight="true">
      <c r="A11" t="s" s="6">
        <v>770</v>
      </c>
      <c r="B11" t="s" s="6">
        <v>771</v>
      </c>
      <c r="C11" t="s" s="6">
        <v>772</v>
      </c>
      <c r="D11" t="s" s="6">
        <v>773</v>
      </c>
      <c r="E11" t="s" s="10">
        <v>754</v>
      </c>
      <c r="F11" t="s" s="6">
        <v>774</v>
      </c>
    </row>
    <row r="12" ht="38.0" customHeight="true">
      <c r="A12" t="s" s="5">
        <v>108</v>
      </c>
      <c r="B12" t="s" s="5">
        <v>775</v>
      </c>
      <c r="C12" t="s" s="5">
        <v>752</v>
      </c>
      <c r="D12" t="s" s="5">
        <v>747</v>
      </c>
      <c r="E12" t="s" s="5">
        <v>748</v>
      </c>
      <c r="F12" t="s" s="5">
        <v>776</v>
      </c>
    </row>
    <row r="13" ht="48.0" customHeight="true">
      <c r="A13" t="s" s="6">
        <v>637</v>
      </c>
      <c r="B13" t="s" s="6">
        <v>777</v>
      </c>
      <c r="C13" t="s" s="6">
        <v>778</v>
      </c>
      <c r="D13" t="s" s="6">
        <v>747</v>
      </c>
      <c r="E13" t="s" s="5">
        <v>748</v>
      </c>
      <c r="F13" t="s" s="6">
        <v>779</v>
      </c>
    </row>
    <row r="15" ht="27.0" customHeight="true">
      <c r="A15" s="3" t="s">
        <v>780</v>
      </c>
      <c r="B15" s="3"/>
      <c r="C15" s="3"/>
      <c r="D15" s="3"/>
      <c r="E15" s="3"/>
      <c r="F15" s="3"/>
      <c r="G15" s="3"/>
      <c r="H15" s="3"/>
    </row>
    <row r="16" ht="32.0" customHeight="true">
      <c r="A16" t="s" s="4">
        <v>781</v>
      </c>
      <c r="B16" t="s" s="4">
        <v>782</v>
      </c>
      <c r="C16" t="s" s="4">
        <v>783</v>
      </c>
      <c r="D16" t="s" s="4">
        <v>784</v>
      </c>
      <c r="E16" t="s" s="4">
        <v>118</v>
      </c>
      <c r="F16" t="s" s="4">
        <v>785</v>
      </c>
    </row>
    <row r="17" ht="38.0" customHeight="true">
      <c r="A17" t="s" s="6">
        <v>786</v>
      </c>
      <c r="B17" t="s" s="6">
        <v>787</v>
      </c>
      <c r="C17" t="s" s="6">
        <v>788</v>
      </c>
      <c r="D17" t="s" s="6">
        <v>789</v>
      </c>
      <c r="E17" t="s" s="10">
        <v>790</v>
      </c>
      <c r="F17" t="s" s="6">
        <v>791</v>
      </c>
    </row>
    <row r="18" ht="38.0" customHeight="true">
      <c r="A18" t="s" s="5">
        <v>792</v>
      </c>
      <c r="B18" t="s" s="5">
        <v>793</v>
      </c>
      <c r="C18" t="s" s="5">
        <v>794</v>
      </c>
      <c r="D18" t="s" s="5">
        <v>789</v>
      </c>
      <c r="E18" t="s" s="10">
        <v>790</v>
      </c>
      <c r="F18" t="s" s="5">
        <v>795</v>
      </c>
    </row>
    <row r="19" ht="38.0" customHeight="true">
      <c r="A19" t="s" s="6">
        <v>796</v>
      </c>
      <c r="B19" t="s" s="6">
        <v>797</v>
      </c>
      <c r="C19" t="s" s="6">
        <v>798</v>
      </c>
      <c r="D19" t="s" s="6">
        <v>789</v>
      </c>
      <c r="E19" t="s" s="10">
        <v>790</v>
      </c>
      <c r="F19" t="s" s="6">
        <v>799</v>
      </c>
    </row>
    <row r="20" ht="38.0" customHeight="true">
      <c r="A20" t="s" s="5">
        <v>800</v>
      </c>
      <c r="B20" t="s" s="5">
        <v>801</v>
      </c>
      <c r="C20" t="s" s="5">
        <v>802</v>
      </c>
      <c r="D20" t="s" s="5">
        <v>789</v>
      </c>
      <c r="E20" t="s" s="10">
        <v>790</v>
      </c>
      <c r="F20" t="s" s="5">
        <v>799</v>
      </c>
    </row>
    <row r="21" ht="38.0" customHeight="true">
      <c r="A21" t="s" s="6">
        <v>803</v>
      </c>
      <c r="B21" t="s" s="6">
        <v>761</v>
      </c>
      <c r="C21" t="s" s="6">
        <v>804</v>
      </c>
      <c r="D21" t="s" s="6">
        <v>805</v>
      </c>
      <c r="E21" t="s" s="10">
        <v>790</v>
      </c>
      <c r="F21" t="s" s="6">
        <v>799</v>
      </c>
    </row>
    <row r="22" ht="38.0" customHeight="true">
      <c r="A22" t="s" s="5">
        <v>806</v>
      </c>
      <c r="B22" t="s" s="5">
        <v>761</v>
      </c>
      <c r="C22" t="s" s="5">
        <v>807</v>
      </c>
      <c r="D22" t="s" s="5">
        <v>808</v>
      </c>
      <c r="E22" t="s" s="10">
        <v>790</v>
      </c>
      <c r="F22" t="s" s="5">
        <v>799</v>
      </c>
    </row>
    <row r="23" ht="38.0" customHeight="true">
      <c r="A23" t="s" s="6">
        <v>809</v>
      </c>
      <c r="B23" t="s" s="6">
        <v>761</v>
      </c>
      <c r="C23" t="s" s="6">
        <v>810</v>
      </c>
      <c r="D23" t="s" s="6">
        <v>811</v>
      </c>
      <c r="E23" t="s" s="10">
        <v>790</v>
      </c>
      <c r="F23" t="s" s="6">
        <v>812</v>
      </c>
    </row>
    <row r="25" ht="27.0" customHeight="true">
      <c r="A25" s="3" t="s">
        <v>813</v>
      </c>
      <c r="B25" s="3"/>
      <c r="C25" s="3"/>
      <c r="D25" s="3"/>
      <c r="E25" s="3"/>
      <c r="F25" s="3"/>
      <c r="G25" s="3"/>
      <c r="H25" s="3"/>
    </row>
    <row r="26" ht="32.0" customHeight="true">
      <c r="A26" t="s" s="4">
        <v>814</v>
      </c>
      <c r="B26" t="s" s="4">
        <v>815</v>
      </c>
      <c r="C26" t="s" s="4">
        <v>816</v>
      </c>
      <c r="D26" t="s" s="4">
        <v>817</v>
      </c>
      <c r="E26" t="s" s="4">
        <v>783</v>
      </c>
      <c r="F26" t="s" s="4">
        <v>818</v>
      </c>
      <c r="G26" t="s" s="4">
        <v>819</v>
      </c>
    </row>
    <row r="27" ht="38.0" customHeight="true">
      <c r="A27" t="s" s="6">
        <v>820</v>
      </c>
      <c r="B27" t="s" s="6">
        <v>246</v>
      </c>
      <c r="C27" t="s" s="6">
        <v>821</v>
      </c>
      <c r="D27" t="s" s="6">
        <v>822</v>
      </c>
      <c r="E27" t="s" s="6">
        <v>823</v>
      </c>
      <c r="F27" t="s" s="6">
        <v>824</v>
      </c>
      <c r="G27" t="s" s="6">
        <v>825</v>
      </c>
    </row>
    <row r="28" ht="38.0" customHeight="true">
      <c r="A28" t="s" s="5">
        <v>826</v>
      </c>
      <c r="B28" t="s" s="5">
        <v>246</v>
      </c>
      <c r="C28" t="s" s="5">
        <v>827</v>
      </c>
      <c r="D28" t="s" s="5">
        <v>828</v>
      </c>
      <c r="E28" t="s" s="5">
        <v>829</v>
      </c>
      <c r="F28" t="s" s="5">
        <v>824</v>
      </c>
      <c r="G28" t="s" s="5">
        <v>830</v>
      </c>
    </row>
    <row r="29" ht="38.0" customHeight="true">
      <c r="A29" t="s" s="6">
        <v>831</v>
      </c>
      <c r="B29" t="s" s="6">
        <v>246</v>
      </c>
      <c r="C29" t="s" s="6">
        <v>827</v>
      </c>
      <c r="D29" t="s" s="6">
        <v>832</v>
      </c>
      <c r="E29" t="s" s="6">
        <v>833</v>
      </c>
      <c r="F29" t="s" s="6">
        <v>824</v>
      </c>
      <c r="G29" t="s" s="6">
        <v>834</v>
      </c>
    </row>
    <row r="30" ht="38.0" customHeight="true">
      <c r="A30" t="s" s="5">
        <v>835</v>
      </c>
      <c r="B30" t="s" s="5">
        <v>836</v>
      </c>
      <c r="C30" t="s" s="5">
        <v>827</v>
      </c>
      <c r="D30" t="s" s="5">
        <v>837</v>
      </c>
      <c r="E30" t="s" s="5">
        <v>838</v>
      </c>
      <c r="F30" t="s" s="5">
        <v>839</v>
      </c>
      <c r="G30" t="s" s="5">
        <v>840</v>
      </c>
    </row>
    <row r="31" ht="38.0" customHeight="true">
      <c r="A31" t="s" s="6">
        <v>841</v>
      </c>
      <c r="B31" t="s" s="6">
        <v>836</v>
      </c>
      <c r="C31" t="s" s="6">
        <v>827</v>
      </c>
      <c r="D31" t="s" s="6">
        <v>837</v>
      </c>
      <c r="E31" t="s" s="6">
        <v>842</v>
      </c>
      <c r="F31" t="s" s="6">
        <v>843</v>
      </c>
      <c r="G31" t="s" s="6">
        <v>844</v>
      </c>
    </row>
    <row r="33" ht="27.0" customHeight="true">
      <c r="A33" s="3" t="s">
        <v>845</v>
      </c>
      <c r="B33" s="3"/>
      <c r="C33" s="3"/>
      <c r="D33" s="3"/>
      <c r="E33" s="3"/>
      <c r="F33" s="3"/>
      <c r="G33" s="3"/>
      <c r="H33" s="3"/>
    </row>
    <row r="34" ht="32.0" customHeight="true">
      <c r="A34" t="s" s="4">
        <v>783</v>
      </c>
      <c r="B34" t="s" s="4">
        <v>846</v>
      </c>
      <c r="C34" t="s" s="4">
        <v>847</v>
      </c>
      <c r="D34" t="s" s="4">
        <v>848</v>
      </c>
    </row>
    <row r="35" ht="48.0" customHeight="true">
      <c r="A35" t="s" s="6">
        <v>849</v>
      </c>
      <c r="B35" t="s" s="6">
        <v>850</v>
      </c>
      <c r="C35" t="s" s="5">
        <v>851</v>
      </c>
      <c r="D35" t="s" s="6">
        <v>852</v>
      </c>
    </row>
    <row r="36" ht="38.0" customHeight="true">
      <c r="A36" t="s" s="5">
        <v>853</v>
      </c>
      <c r="B36" t="s" s="5">
        <v>854</v>
      </c>
      <c r="C36" t="s" s="5">
        <v>855</v>
      </c>
      <c r="D36" t="s" s="5">
        <v>856</v>
      </c>
    </row>
    <row r="37" ht="72.0" customHeight="true">
      <c r="A37" t="s" s="6">
        <v>513</v>
      </c>
      <c r="B37" t="s" s="6">
        <v>857</v>
      </c>
      <c r="C37" t="s" s="5">
        <v>858</v>
      </c>
      <c r="D37" t="s" s="6">
        <v>859</v>
      </c>
    </row>
    <row r="38" ht="72.0" customHeight="true">
      <c r="A38" t="s" s="5">
        <v>67</v>
      </c>
      <c r="B38" t="s" s="5">
        <v>860</v>
      </c>
      <c r="C38" t="s" s="5">
        <v>861</v>
      </c>
      <c r="D38" t="s" s="5">
        <v>862</v>
      </c>
    </row>
    <row r="39" ht="38.0" customHeight="true">
      <c r="A39" t="s" s="6">
        <v>863</v>
      </c>
      <c r="B39" t="s" s="6">
        <v>774</v>
      </c>
      <c r="C39" t="s" s="5">
        <v>864</v>
      </c>
      <c r="D39" t="s" s="6">
        <v>865</v>
      </c>
    </row>
    <row r="40" ht="38.0" customHeight="true">
      <c r="A40" t="s" s="5">
        <v>866</v>
      </c>
      <c r="B40" t="s" s="5">
        <v>752</v>
      </c>
      <c r="C40" t="s" s="5">
        <v>867</v>
      </c>
      <c r="D40" t="s" s="5">
        <v>775</v>
      </c>
    </row>
    <row r="41" ht="48.0" customHeight="true">
      <c r="A41" t="s" s="6">
        <v>868</v>
      </c>
      <c r="B41" t="s" s="6">
        <v>869</v>
      </c>
      <c r="C41" t="s" s="5">
        <v>867</v>
      </c>
      <c r="D41" t="s" s="6">
        <v>870</v>
      </c>
    </row>
  </sheetData>
  <mergeCells count="6">
    <mergeCell ref="A1:H1"/>
    <mergeCell ref="A2:H2"/>
    <mergeCell ref="A4:H4"/>
    <mergeCell ref="A15:H15"/>
    <mergeCell ref="A25:H25"/>
    <mergeCell ref="A33:H33"/>
  </mergeCells>
  <pageMargins bottom="0.5" footer="0.3" header="0.3" left="0.3" right="0.3" top="0.5"/>
  <pageSetup orientation="landscape" fitToWidth="1" fitToHeight="0"/>
  <headerFooter>
    <oddHeader>&amp;C&amp;B智能商城软件测试文档</oddHeader>
    <oddFooter>&amp;L生成日期：2026-07-12&amp;R第 &amp;P 页 / 共 &amp;N 页</oddFooter>
  </headerFooter>
</worksheet>
</file>

<file path=xl/worksheets/sheet4.xml><?xml version="1.0" encoding="utf-8"?>
<worksheet xmlns="http://schemas.openxmlformats.org/spreadsheetml/2006/main">
  <sheetPr>
    <tabColor rgb="FF0F766E"/>
    <pageSetUpPr fitToPage="true" autoPageBreaks="true"/>
  </sheetPr>
  <dimension ref="A1:N40"/>
  <sheetViews>
    <sheetView workbookViewId="0" showGridLines="false" zoomScale="90" tabSelected="false">
      <pane xSplit="2.0" ySplit="4.0" state="frozen" topLeftCell="C5" activePane="bottomRight"/>
      <selection pane="bottomRight"/>
    </sheetView>
  </sheetViews>
  <sheetFormatPr defaultRowHeight="15.0"/>
  <cols>
    <col min="1" max="1" width="12.0" customWidth="true"/>
    <col min="2" max="2" width="14.0" customWidth="true"/>
    <col min="3" max="3" width="30.0" customWidth="true"/>
    <col min="4" max="4" width="10.0" customWidth="true"/>
    <col min="5" max="5" width="10.0" customWidth="true"/>
    <col min="6" max="6" width="12.0" customWidth="true"/>
    <col min="7" max="7" width="20.0" customWidth="true"/>
    <col min="8" max="8" width="40.0" customWidth="true"/>
    <col min="9" max="9" width="28.0" customWidth="true"/>
    <col min="10" max="10" width="34.0" customWidth="true"/>
    <col min="11" max="11" width="38.0" customWidth="true"/>
    <col min="12" max="12" width="34.0" customWidth="true"/>
    <col min="13" max="13" width="18.0" customWidth="true"/>
    <col min="14" max="14" width="25.0" customWidth="true"/>
  </cols>
  <sheetData>
    <row r="1" ht="34.0" customHeight="true">
      <c r="A1" s="1" t="s">
        <v>871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.0" customHeight="true">
      <c r="A2" s="2" t="s">
        <v>872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2.0" customHeight="true">
      <c r="A4" t="s" s="4">
        <v>873</v>
      </c>
      <c r="B4" t="s" s="4">
        <v>21</v>
      </c>
      <c r="C4" t="s" s="4">
        <v>874</v>
      </c>
      <c r="D4" t="s" s="4">
        <v>875</v>
      </c>
      <c r="E4" t="s" s="4">
        <v>148</v>
      </c>
      <c r="F4" t="s" s="4">
        <v>742</v>
      </c>
      <c r="G4" t="s" s="4">
        <v>876</v>
      </c>
      <c r="H4" t="s" s="4">
        <v>877</v>
      </c>
      <c r="I4" t="s" s="4">
        <v>878</v>
      </c>
      <c r="J4" t="s" s="4">
        <v>879</v>
      </c>
      <c r="K4" t="s" s="4">
        <v>880</v>
      </c>
      <c r="L4" t="s" s="4">
        <v>881</v>
      </c>
      <c r="M4" t="s" s="4">
        <v>882</v>
      </c>
      <c r="N4" t="s" s="4">
        <v>883</v>
      </c>
    </row>
    <row r="5" ht="48.0" customHeight="true">
      <c r="A5" t="s" s="6">
        <v>404</v>
      </c>
      <c r="B5" t="s" s="6">
        <v>884</v>
      </c>
      <c r="C5" t="s" s="6">
        <v>885</v>
      </c>
      <c r="D5" t="s" s="6">
        <v>886</v>
      </c>
      <c r="E5" t="s" s="6">
        <v>161</v>
      </c>
      <c r="F5" t="s" s="5">
        <v>887</v>
      </c>
      <c r="G5" t="s" s="6">
        <v>108</v>
      </c>
      <c r="H5" t="s" s="6">
        <v>888</v>
      </c>
      <c r="I5" t="s" s="6">
        <v>889</v>
      </c>
      <c r="J5" t="s" s="6">
        <v>890</v>
      </c>
      <c r="K5" t="s" s="6">
        <v>891</v>
      </c>
      <c r="L5" t="s" s="6">
        <v>892</v>
      </c>
      <c r="M5" t="s" s="6">
        <v>396</v>
      </c>
      <c r="N5" t="s" s="6">
        <v>893</v>
      </c>
    </row>
    <row r="6" ht="48.0" customHeight="true">
      <c r="A6" t="s" s="5">
        <v>240</v>
      </c>
      <c r="B6" t="s" s="5">
        <v>894</v>
      </c>
      <c r="C6" t="s" s="5">
        <v>895</v>
      </c>
      <c r="D6" t="s" s="5">
        <v>896</v>
      </c>
      <c r="E6" t="s" s="5">
        <v>195</v>
      </c>
      <c r="F6" t="s" s="5">
        <v>887</v>
      </c>
      <c r="G6" t="s" s="5">
        <v>897</v>
      </c>
      <c r="H6" t="s" s="5">
        <v>898</v>
      </c>
      <c r="I6" t="s" s="5">
        <v>899</v>
      </c>
      <c r="J6" t="s" s="5">
        <v>900</v>
      </c>
      <c r="K6" t="s" s="5">
        <v>901</v>
      </c>
      <c r="L6" t="s" s="5">
        <v>902</v>
      </c>
      <c r="M6" t="s" s="5">
        <v>233</v>
      </c>
      <c r="N6" t="s" s="5">
        <v>903</v>
      </c>
    </row>
    <row r="7" ht="48.0" customHeight="true">
      <c r="A7" t="s" s="6">
        <v>215</v>
      </c>
      <c r="B7" t="s" s="6">
        <v>904</v>
      </c>
      <c r="C7" t="s" s="6">
        <v>905</v>
      </c>
      <c r="D7" t="s" s="6">
        <v>896</v>
      </c>
      <c r="E7" t="s" s="6">
        <v>195</v>
      </c>
      <c r="F7" t="s" s="5">
        <v>887</v>
      </c>
      <c r="G7" t="s" s="6">
        <v>906</v>
      </c>
      <c r="H7" t="s" s="6">
        <v>907</v>
      </c>
      <c r="I7" t="s" s="6">
        <v>908</v>
      </c>
      <c r="J7" t="s" s="6">
        <v>909</v>
      </c>
      <c r="K7" t="s" s="6">
        <v>910</v>
      </c>
      <c r="L7" t="s" s="6">
        <v>911</v>
      </c>
      <c r="M7" t="s" s="6">
        <v>912</v>
      </c>
      <c r="N7" t="s" s="6">
        <v>903</v>
      </c>
    </row>
    <row r="8" ht="48.0" customHeight="true">
      <c r="A8" t="s" s="5">
        <v>913</v>
      </c>
      <c r="B8" t="s" s="5">
        <v>802</v>
      </c>
      <c r="C8" t="s" s="5">
        <v>914</v>
      </c>
      <c r="D8" t="s" s="5">
        <v>896</v>
      </c>
      <c r="E8" t="s" s="5">
        <v>195</v>
      </c>
      <c r="F8" t="s" s="5">
        <v>887</v>
      </c>
      <c r="G8" t="s" s="5">
        <v>897</v>
      </c>
      <c r="H8" t="s" s="5">
        <v>915</v>
      </c>
      <c r="I8" t="s" s="5">
        <v>916</v>
      </c>
      <c r="J8" t="s" s="5">
        <v>917</v>
      </c>
      <c r="K8" t="s" s="5">
        <v>918</v>
      </c>
      <c r="L8" t="s" s="5">
        <v>919</v>
      </c>
      <c r="M8" t="s" s="5">
        <v>747</v>
      </c>
      <c r="N8" t="s" s="5">
        <v>903</v>
      </c>
    </row>
    <row r="9" ht="48.0" customHeight="true">
      <c r="A9" t="s" s="6">
        <v>545</v>
      </c>
      <c r="B9" t="s" s="6">
        <v>487</v>
      </c>
      <c r="C9" t="s" s="6">
        <v>920</v>
      </c>
      <c r="D9" t="s" s="6">
        <v>896</v>
      </c>
      <c r="E9" t="s" s="6">
        <v>195</v>
      </c>
      <c r="F9" t="s" s="5">
        <v>887</v>
      </c>
      <c r="G9" t="s" s="6">
        <v>921</v>
      </c>
      <c r="H9" t="s" s="6">
        <v>922</v>
      </c>
      <c r="I9" t="s" s="6">
        <v>923</v>
      </c>
      <c r="J9" t="s" s="6">
        <v>924</v>
      </c>
      <c r="K9" t="s" s="6">
        <v>925</v>
      </c>
      <c r="L9" t="s" s="6">
        <v>926</v>
      </c>
      <c r="M9" t="s" s="6">
        <v>538</v>
      </c>
      <c r="N9" t="s" s="6">
        <v>927</v>
      </c>
    </row>
    <row r="10" ht="48.0" customHeight="true">
      <c r="A10" t="s" s="5">
        <v>565</v>
      </c>
      <c r="B10" t="s" s="5">
        <v>928</v>
      </c>
      <c r="C10" t="s" s="5">
        <v>929</v>
      </c>
      <c r="D10" t="s" s="5">
        <v>896</v>
      </c>
      <c r="E10" t="s" s="5">
        <v>195</v>
      </c>
      <c r="F10" t="s" s="5">
        <v>887</v>
      </c>
      <c r="G10" t="s" s="5">
        <v>297</v>
      </c>
      <c r="H10" t="s" s="5">
        <v>930</v>
      </c>
      <c r="I10" t="s" s="5">
        <v>931</v>
      </c>
      <c r="J10" t="s" s="5">
        <v>932</v>
      </c>
      <c r="K10" t="s" s="5">
        <v>933</v>
      </c>
      <c r="L10" t="s" s="5">
        <v>934</v>
      </c>
      <c r="M10" t="s" s="5">
        <v>557</v>
      </c>
      <c r="N10" t="s" s="5">
        <v>935</v>
      </c>
    </row>
    <row r="11" ht="60.0" customHeight="true">
      <c r="A11" t="s" s="6">
        <v>574</v>
      </c>
      <c r="B11" t="s" s="6">
        <v>928</v>
      </c>
      <c r="C11" t="s" s="6">
        <v>936</v>
      </c>
      <c r="D11" t="s" s="6">
        <v>937</v>
      </c>
      <c r="E11" t="s" s="6">
        <v>282</v>
      </c>
      <c r="F11" t="s" s="5">
        <v>887</v>
      </c>
      <c r="G11" t="s" s="6">
        <v>297</v>
      </c>
      <c r="H11" t="s" s="6">
        <v>938</v>
      </c>
      <c r="I11" t="s" s="6">
        <v>939</v>
      </c>
      <c r="J11" t="s" s="6">
        <v>940</v>
      </c>
      <c r="K11" t="s" s="6">
        <v>941</v>
      </c>
      <c r="L11" t="s" s="6">
        <v>942</v>
      </c>
      <c r="M11" t="s" s="6">
        <v>566</v>
      </c>
      <c r="N11" t="s" s="6">
        <v>903</v>
      </c>
    </row>
    <row r="12" ht="48.0" customHeight="true">
      <c r="A12" t="s" s="5">
        <v>296</v>
      </c>
      <c r="B12" t="s" s="5">
        <v>943</v>
      </c>
      <c r="C12" t="s" s="5">
        <v>944</v>
      </c>
      <c r="D12" t="s" s="5">
        <v>937</v>
      </c>
      <c r="E12" t="s" s="5">
        <v>282</v>
      </c>
      <c r="F12" t="s" s="5">
        <v>887</v>
      </c>
      <c r="G12" t="s" s="5">
        <v>297</v>
      </c>
      <c r="H12" t="s" s="5">
        <v>945</v>
      </c>
      <c r="I12" t="s" s="5">
        <v>946</v>
      </c>
      <c r="J12" t="s" s="5">
        <v>947</v>
      </c>
      <c r="K12" t="s" s="5">
        <v>948</v>
      </c>
      <c r="L12" t="s" s="5">
        <v>949</v>
      </c>
      <c r="M12" t="s" s="5">
        <v>289</v>
      </c>
      <c r="N12" t="s" s="5">
        <v>903</v>
      </c>
    </row>
    <row r="13" ht="38.0" customHeight="true">
      <c r="A13" t="s" s="6">
        <v>583</v>
      </c>
      <c r="B13" t="s" s="6">
        <v>950</v>
      </c>
      <c r="C13" t="s" s="6">
        <v>951</v>
      </c>
      <c r="D13" t="s" s="6">
        <v>937</v>
      </c>
      <c r="E13" t="s" s="6">
        <v>282</v>
      </c>
      <c r="F13" t="s" s="5">
        <v>887</v>
      </c>
      <c r="G13" t="s" s="6">
        <v>297</v>
      </c>
      <c r="H13" t="s" s="6">
        <v>952</v>
      </c>
      <c r="I13" t="s" s="6">
        <v>953</v>
      </c>
      <c r="J13" t="s" s="6">
        <v>954</v>
      </c>
      <c r="K13" t="s" s="6">
        <v>955</v>
      </c>
      <c r="L13" t="s" s="6">
        <v>956</v>
      </c>
      <c r="M13" t="s" s="6">
        <v>575</v>
      </c>
      <c r="N13" t="s" s="6">
        <v>903</v>
      </c>
    </row>
    <row r="14" ht="48.0" customHeight="true">
      <c r="A14" t="s" s="5">
        <v>476</v>
      </c>
      <c r="B14" t="s" s="5">
        <v>957</v>
      </c>
      <c r="C14" t="s" s="5">
        <v>958</v>
      </c>
      <c r="D14" t="s" s="5">
        <v>937</v>
      </c>
      <c r="E14" t="s" s="5">
        <v>282</v>
      </c>
      <c r="F14" t="s" s="5">
        <v>887</v>
      </c>
      <c r="G14" t="s" s="5">
        <v>959</v>
      </c>
      <c r="H14" t="s" s="5">
        <v>960</v>
      </c>
      <c r="I14" t="s" s="5">
        <v>961</v>
      </c>
      <c r="J14" t="s" s="5">
        <v>962</v>
      </c>
      <c r="K14" t="s" s="5">
        <v>963</v>
      </c>
      <c r="L14" t="s" s="5">
        <v>964</v>
      </c>
      <c r="M14" t="s" s="5">
        <v>469</v>
      </c>
      <c r="N14" t="s" s="5">
        <v>965</v>
      </c>
    </row>
    <row r="15" ht="38.0" customHeight="true">
      <c r="A15" t="s" s="6">
        <v>688</v>
      </c>
      <c r="B15" t="s" s="6">
        <v>966</v>
      </c>
      <c r="C15" t="s" s="6">
        <v>967</v>
      </c>
      <c r="D15" t="s" s="6">
        <v>937</v>
      </c>
      <c r="E15" t="s" s="6">
        <v>282</v>
      </c>
      <c r="F15" t="s" s="5">
        <v>887</v>
      </c>
      <c r="G15" t="s" s="6">
        <v>689</v>
      </c>
      <c r="H15" t="s" s="6">
        <v>968</v>
      </c>
      <c r="I15" t="s" s="6">
        <v>969</v>
      </c>
      <c r="J15" t="s" s="6">
        <v>970</v>
      </c>
      <c r="K15" t="s" s="6">
        <v>971</v>
      </c>
      <c r="L15" t="s" s="6">
        <v>972</v>
      </c>
      <c r="M15" t="s" s="6">
        <v>680</v>
      </c>
      <c r="N15" t="s" s="6">
        <v>903</v>
      </c>
    </row>
    <row r="16" ht="48.0" customHeight="true">
      <c r="A16" t="s" s="5">
        <v>698</v>
      </c>
      <c r="B16" t="s" s="5">
        <v>966</v>
      </c>
      <c r="C16" t="s" s="5">
        <v>973</v>
      </c>
      <c r="D16" t="s" s="5">
        <v>974</v>
      </c>
      <c r="E16" t="s" s="5">
        <v>975</v>
      </c>
      <c r="F16" t="s" s="5">
        <v>887</v>
      </c>
      <c r="G16" t="s" s="5">
        <v>689</v>
      </c>
      <c r="H16" t="s" s="5">
        <v>976</v>
      </c>
      <c r="I16" t="s" s="5">
        <v>977</v>
      </c>
      <c r="J16" t="s" s="5">
        <v>978</v>
      </c>
      <c r="K16" t="s" s="5">
        <v>979</v>
      </c>
      <c r="L16" t="s" s="5">
        <v>980</v>
      </c>
      <c r="M16" t="s" s="5">
        <v>690</v>
      </c>
      <c r="N16" t="s" s="5">
        <v>903</v>
      </c>
    </row>
    <row r="17" ht="38.0" customHeight="true">
      <c r="A17" t="s" s="6">
        <v>707</v>
      </c>
      <c r="B17" t="s" s="6">
        <v>981</v>
      </c>
      <c r="C17" t="s" s="6">
        <v>982</v>
      </c>
      <c r="D17" t="s" s="6">
        <v>937</v>
      </c>
      <c r="E17" t="s" s="6">
        <v>282</v>
      </c>
      <c r="F17" t="s" s="5">
        <v>887</v>
      </c>
      <c r="G17" t="s" s="6">
        <v>708</v>
      </c>
      <c r="H17" t="s" s="6">
        <v>983</v>
      </c>
      <c r="I17" t="s" s="6">
        <v>984</v>
      </c>
      <c r="J17" t="s" s="6">
        <v>985</v>
      </c>
      <c r="K17" t="s" s="6">
        <v>986</v>
      </c>
      <c r="L17" t="s" s="6">
        <v>987</v>
      </c>
      <c r="M17" t="s" s="6">
        <v>699</v>
      </c>
      <c r="N17" t="s" s="6">
        <v>903</v>
      </c>
    </row>
    <row r="18" ht="38.0" customHeight="true">
      <c r="A18" t="s" s="5">
        <v>555</v>
      </c>
      <c r="B18" t="s" s="5">
        <v>487</v>
      </c>
      <c r="C18" t="s" s="5">
        <v>988</v>
      </c>
      <c r="D18" t="s" s="5">
        <v>937</v>
      </c>
      <c r="E18" t="s" s="5">
        <v>282</v>
      </c>
      <c r="F18" t="s" s="12">
        <v>989</v>
      </c>
      <c r="G18" t="s" s="5">
        <v>556</v>
      </c>
      <c r="H18" t="s" s="5">
        <v>990</v>
      </c>
      <c r="I18" t="s" s="5">
        <v>553</v>
      </c>
      <c r="J18" t="s" s="5">
        <v>991</v>
      </c>
      <c r="K18" t="s" s="5">
        <v>992</v>
      </c>
      <c r="L18" t="s" s="5">
        <v>993</v>
      </c>
      <c r="M18" t="s" s="5">
        <v>994</v>
      </c>
      <c r="N18" t="s" s="5">
        <v>995</v>
      </c>
    </row>
    <row r="19" ht="38.0" customHeight="true">
      <c r="A19" t="s" s="6">
        <v>305</v>
      </c>
      <c r="B19" t="s" s="6">
        <v>943</v>
      </c>
      <c r="C19" t="s" s="6">
        <v>996</v>
      </c>
      <c r="D19" t="s" s="6">
        <v>974</v>
      </c>
      <c r="E19" t="s" s="6">
        <v>975</v>
      </c>
      <c r="F19" t="s" s="5">
        <v>887</v>
      </c>
      <c r="G19" t="s" s="6">
        <v>897</v>
      </c>
      <c r="H19" t="s" s="6">
        <v>301</v>
      </c>
      <c r="I19" t="s" s="6">
        <v>997</v>
      </c>
      <c r="J19" t="s" s="6">
        <v>998</v>
      </c>
      <c r="K19" t="s" s="6">
        <v>999</v>
      </c>
      <c r="L19" t="s" s="6">
        <v>1000</v>
      </c>
      <c r="M19" t="s" s="6">
        <v>298</v>
      </c>
      <c r="N19" t="s" s="6">
        <v>903</v>
      </c>
    </row>
    <row r="20" ht="48.0" customHeight="true">
      <c r="A20" t="s" s="5">
        <v>715</v>
      </c>
      <c r="B20" t="s" s="5">
        <v>1001</v>
      </c>
      <c r="C20" t="s" s="5">
        <v>1002</v>
      </c>
      <c r="D20" t="s" s="5">
        <v>937</v>
      </c>
      <c r="E20" t="s" s="5">
        <v>282</v>
      </c>
      <c r="F20" t="s" s="5">
        <v>887</v>
      </c>
      <c r="G20" t="s" s="5">
        <v>708</v>
      </c>
      <c r="H20" t="s" s="5">
        <v>711</v>
      </c>
      <c r="I20" t="s" s="5">
        <v>1003</v>
      </c>
      <c r="J20" t="s" s="5">
        <v>1004</v>
      </c>
      <c r="K20" t="s" s="5">
        <v>1005</v>
      </c>
      <c r="L20" t="s" s="5">
        <v>1006</v>
      </c>
      <c r="M20" t="s" s="5">
        <v>709</v>
      </c>
      <c r="N20" t="s" s="5">
        <v>661</v>
      </c>
    </row>
    <row r="21" ht="38.0" customHeight="true">
      <c r="A21" t="s" s="6">
        <v>724</v>
      </c>
      <c r="B21" t="s" s="6">
        <v>1007</v>
      </c>
      <c r="C21" t="s" s="6">
        <v>1008</v>
      </c>
      <c r="D21" t="s" s="6">
        <v>937</v>
      </c>
      <c r="E21" t="s" s="6">
        <v>282</v>
      </c>
      <c r="F21" t="s" s="5">
        <v>887</v>
      </c>
      <c r="G21" t="s" s="6">
        <v>721</v>
      </c>
      <c r="H21" t="s" s="6">
        <v>1009</v>
      </c>
      <c r="I21" t="s" s="6">
        <v>1010</v>
      </c>
      <c r="J21" t="s" s="6">
        <v>723</v>
      </c>
      <c r="K21" t="s" s="6">
        <v>1011</v>
      </c>
      <c r="L21" t="s" s="6">
        <v>1012</v>
      </c>
      <c r="M21" t="s" s="6">
        <v>717</v>
      </c>
      <c r="N21" t="s" s="6">
        <v>661</v>
      </c>
    </row>
    <row r="22" ht="38.0" customHeight="true">
      <c r="A22" t="s" s="5">
        <v>643</v>
      </c>
      <c r="B22" t="s" s="5">
        <v>1013</v>
      </c>
      <c r="C22" t="s" s="5">
        <v>1014</v>
      </c>
      <c r="D22" t="s" s="5">
        <v>974</v>
      </c>
      <c r="E22" t="s" s="5">
        <v>975</v>
      </c>
      <c r="F22" t="s" s="13">
        <v>1015</v>
      </c>
      <c r="G22" t="s" s="5">
        <v>637</v>
      </c>
      <c r="H22" t="s" s="5">
        <v>1016</v>
      </c>
      <c r="I22" t="s" s="5">
        <v>1017</v>
      </c>
      <c r="J22" t="s" s="5">
        <v>1018</v>
      </c>
      <c r="K22" t="s" s="5">
        <v>1019</v>
      </c>
      <c r="L22" t="s" s="5">
        <v>1020</v>
      </c>
      <c r="M22" t="s" s="5">
        <v>635</v>
      </c>
      <c r="N22" t="s" s="5">
        <v>1021</v>
      </c>
    </row>
    <row r="23" ht="38.0" customHeight="true">
      <c r="A23" t="s" s="6">
        <v>1022</v>
      </c>
      <c r="B23" t="s" s="6">
        <v>1023</v>
      </c>
      <c r="C23" t="s" s="6">
        <v>1024</v>
      </c>
      <c r="D23" t="s" s="6">
        <v>974</v>
      </c>
      <c r="E23" t="s" s="6">
        <v>975</v>
      </c>
      <c r="F23" t="s" s="5">
        <v>887</v>
      </c>
      <c r="G23" t="s" s="6">
        <v>297</v>
      </c>
      <c r="H23" t="s" s="6">
        <v>1025</v>
      </c>
      <c r="I23" t="s" s="6">
        <v>1026</v>
      </c>
      <c r="J23" t="s" s="6">
        <v>1027</v>
      </c>
      <c r="K23" t="s" s="6">
        <v>1028</v>
      </c>
      <c r="L23" t="s" s="6">
        <v>1029</v>
      </c>
      <c r="M23" t="s" s="6">
        <v>747</v>
      </c>
      <c r="N23" t="s" s="6">
        <v>1030</v>
      </c>
    </row>
    <row r="24" ht="38.0" customHeight="true">
      <c r="A24" t="s" s="5">
        <v>1031</v>
      </c>
      <c r="B24" t="s" s="5">
        <v>1032</v>
      </c>
      <c r="C24" t="s" s="5">
        <v>1033</v>
      </c>
      <c r="D24" t="s" s="5">
        <v>896</v>
      </c>
      <c r="E24" t="s" s="5">
        <v>161</v>
      </c>
      <c r="F24" t="s" s="10">
        <v>1034</v>
      </c>
      <c r="G24" t="s" s="5">
        <v>1035</v>
      </c>
      <c r="H24" t="s" s="5">
        <v>1036</v>
      </c>
      <c r="I24" t="s" s="5">
        <v>1037</v>
      </c>
      <c r="J24" t="s" s="5">
        <v>1038</v>
      </c>
      <c r="K24" t="s" s="5">
        <v>1039</v>
      </c>
      <c r="L24" t="s" s="5">
        <v>1040</v>
      </c>
      <c r="M24" t="s" s="5">
        <v>434</v>
      </c>
      <c r="N24" t="s" s="5">
        <v>1041</v>
      </c>
    </row>
    <row r="25" ht="38.0" customHeight="true">
      <c r="A25" t="s" s="6">
        <v>1042</v>
      </c>
      <c r="B25" t="s" s="6">
        <v>487</v>
      </c>
      <c r="C25" t="s" s="6">
        <v>1043</v>
      </c>
      <c r="D25" t="s" s="6">
        <v>937</v>
      </c>
      <c r="E25" t="s" s="6">
        <v>282</v>
      </c>
      <c r="F25" t="s" s="13">
        <v>1015</v>
      </c>
      <c r="G25" t="s" s="6">
        <v>1035</v>
      </c>
      <c r="H25" t="s" s="6">
        <v>1044</v>
      </c>
      <c r="I25" t="s" s="6">
        <v>1045</v>
      </c>
      <c r="J25" t="s" s="6">
        <v>1046</v>
      </c>
      <c r="K25" t="s" s="6">
        <v>1039</v>
      </c>
      <c r="L25" t="s" s="6">
        <v>1047</v>
      </c>
      <c r="M25" t="s" s="6">
        <v>747</v>
      </c>
      <c r="N25" t="s" s="6">
        <v>1015</v>
      </c>
    </row>
    <row r="26" ht="38.0" customHeight="true">
      <c r="A26" t="s" s="5">
        <v>1048</v>
      </c>
      <c r="B26" t="s" s="5">
        <v>487</v>
      </c>
      <c r="C26" t="s" s="5">
        <v>1049</v>
      </c>
      <c r="D26" t="s" s="5">
        <v>937</v>
      </c>
      <c r="E26" t="s" s="5">
        <v>282</v>
      </c>
      <c r="F26" t="s" s="10">
        <v>1034</v>
      </c>
      <c r="G26" t="s" s="5">
        <v>1035</v>
      </c>
      <c r="H26" t="s" s="5">
        <v>1050</v>
      </c>
      <c r="I26" t="s" s="5">
        <v>1051</v>
      </c>
      <c r="J26" t="s" s="5">
        <v>1052</v>
      </c>
      <c r="K26" t="s" s="5">
        <v>1039</v>
      </c>
      <c r="L26" t="s" s="5">
        <v>1053</v>
      </c>
      <c r="M26" t="s" s="5">
        <v>747</v>
      </c>
      <c r="N26" t="s" s="5">
        <v>1034</v>
      </c>
    </row>
    <row r="27" ht="38.0" customHeight="true">
      <c r="A27" t="s" s="6">
        <v>1054</v>
      </c>
      <c r="B27" t="s" s="6">
        <v>1055</v>
      </c>
      <c r="C27" t="s" s="6">
        <v>1056</v>
      </c>
      <c r="D27" t="s" s="6">
        <v>937</v>
      </c>
      <c r="E27" t="s" s="6">
        <v>195</v>
      </c>
      <c r="F27" t="s" s="10">
        <v>1034</v>
      </c>
      <c r="G27" t="s" s="6">
        <v>1035</v>
      </c>
      <c r="H27" t="s" s="6">
        <v>1057</v>
      </c>
      <c r="I27" t="s" s="6">
        <v>1058</v>
      </c>
      <c r="J27" t="s" s="6">
        <v>1059</v>
      </c>
      <c r="K27" t="s" s="6">
        <v>1039</v>
      </c>
      <c r="L27" t="s" s="6">
        <v>1060</v>
      </c>
      <c r="M27" t="s" s="6">
        <v>747</v>
      </c>
      <c r="N27" t="s" s="6">
        <v>1034</v>
      </c>
    </row>
    <row r="28" ht="38.0" customHeight="true">
      <c r="A28" t="s" s="5">
        <v>1061</v>
      </c>
      <c r="B28" t="s" s="5">
        <v>1032</v>
      </c>
      <c r="C28" t="s" s="5">
        <v>1062</v>
      </c>
      <c r="D28" t="s" s="5">
        <v>896</v>
      </c>
      <c r="E28" t="s" s="5">
        <v>161</v>
      </c>
      <c r="F28" t="s" s="10">
        <v>1034</v>
      </c>
      <c r="G28" t="s" s="5">
        <v>1035</v>
      </c>
      <c r="H28" t="s" s="5">
        <v>1063</v>
      </c>
      <c r="I28" t="s" s="5">
        <v>1064</v>
      </c>
      <c r="J28" t="s" s="5">
        <v>1065</v>
      </c>
      <c r="K28" t="s" s="5">
        <v>1039</v>
      </c>
      <c r="L28" t="s" s="5">
        <v>1066</v>
      </c>
      <c r="M28" t="s" s="5">
        <v>418</v>
      </c>
      <c r="N28" t="s" s="5">
        <v>1034</v>
      </c>
    </row>
    <row r="29" ht="38.0" customHeight="true">
      <c r="A29" t="s" s="6">
        <v>1067</v>
      </c>
      <c r="B29" t="s" s="6">
        <v>329</v>
      </c>
      <c r="C29" t="s" s="6">
        <v>1068</v>
      </c>
      <c r="D29" t="s" s="6">
        <v>937</v>
      </c>
      <c r="E29" t="s" s="6">
        <v>195</v>
      </c>
      <c r="F29" t="s" s="10">
        <v>1034</v>
      </c>
      <c r="G29" t="s" s="6">
        <v>1035</v>
      </c>
      <c r="H29" t="s" s="6">
        <v>1069</v>
      </c>
      <c r="I29" t="s" s="6">
        <v>1070</v>
      </c>
      <c r="J29" t="s" s="6">
        <v>1071</v>
      </c>
      <c r="K29" t="s" s="6">
        <v>1039</v>
      </c>
      <c r="L29" t="s" s="6">
        <v>1072</v>
      </c>
      <c r="M29" t="s" s="6">
        <v>360</v>
      </c>
      <c r="N29" t="s" s="6">
        <v>1034</v>
      </c>
    </row>
    <row r="30" ht="38.0" customHeight="true">
      <c r="A30" t="s" s="5">
        <v>1073</v>
      </c>
      <c r="B30" t="s" s="5">
        <v>487</v>
      </c>
      <c r="C30" t="s" s="5">
        <v>1074</v>
      </c>
      <c r="D30" t="s" s="5">
        <v>937</v>
      </c>
      <c r="E30" t="s" s="5">
        <v>282</v>
      </c>
      <c r="F30" t="s" s="10">
        <v>1034</v>
      </c>
      <c r="G30" t="s" s="5">
        <v>1035</v>
      </c>
      <c r="H30" t="s" s="5">
        <v>1075</v>
      </c>
      <c r="I30" t="s" s="5">
        <v>1076</v>
      </c>
      <c r="J30" t="s" s="5">
        <v>1077</v>
      </c>
      <c r="K30" t="s" s="5">
        <v>1039</v>
      </c>
      <c r="L30" t="s" s="5">
        <v>1078</v>
      </c>
      <c r="M30" t="s" s="5">
        <v>747</v>
      </c>
      <c r="N30" t="s" s="5">
        <v>1034</v>
      </c>
    </row>
    <row r="31" ht="38.0" customHeight="true">
      <c r="A31" t="s" s="6">
        <v>1079</v>
      </c>
      <c r="B31" t="s" s="6">
        <v>329</v>
      </c>
      <c r="C31" t="s" s="6">
        <v>1080</v>
      </c>
      <c r="D31" t="s" s="6">
        <v>974</v>
      </c>
      <c r="E31" t="s" s="6">
        <v>282</v>
      </c>
      <c r="F31" t="s" s="10">
        <v>1034</v>
      </c>
      <c r="G31" t="s" s="6">
        <v>1035</v>
      </c>
      <c r="H31" t="s" s="6">
        <v>1081</v>
      </c>
      <c r="I31" t="s" s="6">
        <v>1082</v>
      </c>
      <c r="J31" t="s" s="6">
        <v>1083</v>
      </c>
      <c r="K31" t="s" s="6">
        <v>1039</v>
      </c>
      <c r="L31" t="s" s="6">
        <v>1084</v>
      </c>
      <c r="M31" t="s" s="6">
        <v>747</v>
      </c>
      <c r="N31" t="s" s="6">
        <v>1034</v>
      </c>
    </row>
    <row r="32" ht="38.0" customHeight="true">
      <c r="A32" t="s" s="5">
        <v>1085</v>
      </c>
      <c r="B32" t="s" s="5">
        <v>1086</v>
      </c>
      <c r="C32" t="s" s="5">
        <v>1087</v>
      </c>
      <c r="D32" t="s" s="5">
        <v>937</v>
      </c>
      <c r="E32" t="s" s="5">
        <v>195</v>
      </c>
      <c r="F32" t="s" s="10">
        <v>1034</v>
      </c>
      <c r="G32" t="s" s="5">
        <v>1035</v>
      </c>
      <c r="H32" t="s" s="5">
        <v>1088</v>
      </c>
      <c r="I32" t="s" s="5">
        <v>1089</v>
      </c>
      <c r="J32" t="s" s="5">
        <v>1090</v>
      </c>
      <c r="K32" t="s" s="5">
        <v>1039</v>
      </c>
      <c r="L32" t="s" s="5">
        <v>1091</v>
      </c>
      <c r="M32" t="s" s="5">
        <v>747</v>
      </c>
      <c r="N32" t="s" s="5">
        <v>1034</v>
      </c>
    </row>
    <row r="33" ht="38.0" customHeight="true">
      <c r="A33" t="s" s="6">
        <v>1092</v>
      </c>
      <c r="B33" t="s" s="6">
        <v>1093</v>
      </c>
      <c r="C33" t="s" s="6">
        <v>1094</v>
      </c>
      <c r="D33" t="s" s="6">
        <v>937</v>
      </c>
      <c r="E33" t="s" s="6">
        <v>195</v>
      </c>
      <c r="F33" t="s" s="10">
        <v>1034</v>
      </c>
      <c r="G33" t="s" s="6">
        <v>1035</v>
      </c>
      <c r="H33" t="s" s="6">
        <v>1095</v>
      </c>
      <c r="I33" t="s" s="6">
        <v>1096</v>
      </c>
      <c r="J33" t="s" s="6">
        <v>1097</v>
      </c>
      <c r="K33" t="s" s="6">
        <v>1039</v>
      </c>
      <c r="L33" t="s" s="6">
        <v>1098</v>
      </c>
      <c r="M33" t="s" s="6">
        <v>747</v>
      </c>
      <c r="N33" t="s" s="6">
        <v>1034</v>
      </c>
    </row>
    <row r="34" ht="38.0" customHeight="true">
      <c r="A34" t="s" s="5">
        <v>1099</v>
      </c>
      <c r="B34" t="s" s="5">
        <v>603</v>
      </c>
      <c r="C34" t="s" s="5">
        <v>1100</v>
      </c>
      <c r="D34" t="s" s="5">
        <v>896</v>
      </c>
      <c r="E34" t="s" s="5">
        <v>195</v>
      </c>
      <c r="F34" t="s" s="10">
        <v>1034</v>
      </c>
      <c r="G34" t="s" s="5">
        <v>1035</v>
      </c>
      <c r="H34" t="s" s="5">
        <v>1101</v>
      </c>
      <c r="I34" t="s" s="5">
        <v>1102</v>
      </c>
      <c r="J34" t="s" s="5">
        <v>1103</v>
      </c>
      <c r="K34" t="s" s="5">
        <v>1039</v>
      </c>
      <c r="L34" t="s" s="5">
        <v>1104</v>
      </c>
      <c r="M34" t="s" s="5">
        <v>747</v>
      </c>
      <c r="N34" t="s" s="5">
        <v>1034</v>
      </c>
    </row>
    <row r="35" ht="38.0" customHeight="true">
      <c r="A35" t="s" s="6">
        <v>1105</v>
      </c>
      <c r="B35" t="s" s="6">
        <v>603</v>
      </c>
      <c r="C35" t="s" s="6">
        <v>1106</v>
      </c>
      <c r="D35" t="s" s="6">
        <v>937</v>
      </c>
      <c r="E35" t="s" s="6">
        <v>282</v>
      </c>
      <c r="F35" t="s" s="10">
        <v>1034</v>
      </c>
      <c r="G35" t="s" s="6">
        <v>1035</v>
      </c>
      <c r="H35" t="s" s="6">
        <v>1107</v>
      </c>
      <c r="I35" t="s" s="6">
        <v>1108</v>
      </c>
      <c r="J35" t="s" s="6">
        <v>1109</v>
      </c>
      <c r="K35" t="s" s="6">
        <v>1039</v>
      </c>
      <c r="L35" t="s" s="6">
        <v>1110</v>
      </c>
      <c r="M35" t="s" s="6">
        <v>747</v>
      </c>
      <c r="N35" t="s" s="6">
        <v>1034</v>
      </c>
    </row>
    <row r="36" ht="38.0" customHeight="true">
      <c r="A36" t="s" s="5">
        <v>1111</v>
      </c>
      <c r="B36" t="s" s="5">
        <v>487</v>
      </c>
      <c r="C36" t="s" s="5">
        <v>1112</v>
      </c>
      <c r="D36" t="s" s="5">
        <v>937</v>
      </c>
      <c r="E36" t="s" s="5">
        <v>282</v>
      </c>
      <c r="F36" t="s" s="10">
        <v>1034</v>
      </c>
      <c r="G36" t="s" s="5">
        <v>1035</v>
      </c>
      <c r="H36" t="s" s="5">
        <v>1113</v>
      </c>
      <c r="I36" t="s" s="5">
        <v>1114</v>
      </c>
      <c r="J36" t="s" s="5">
        <v>1115</v>
      </c>
      <c r="K36" t="s" s="5">
        <v>1039</v>
      </c>
      <c r="L36" t="s" s="5">
        <v>1116</v>
      </c>
      <c r="M36" t="s" s="5">
        <v>747</v>
      </c>
      <c r="N36" t="s" s="5">
        <v>1034</v>
      </c>
    </row>
    <row r="37" ht="38.0" customHeight="true">
      <c r="A37" t="s" s="6">
        <v>1117</v>
      </c>
      <c r="B37" t="s" s="6">
        <v>750</v>
      </c>
      <c r="C37" t="s" s="6">
        <v>1118</v>
      </c>
      <c r="D37" t="s" s="6">
        <v>937</v>
      </c>
      <c r="E37" t="s" s="6">
        <v>282</v>
      </c>
      <c r="F37" t="s" s="10">
        <v>1034</v>
      </c>
      <c r="G37" t="s" s="6">
        <v>1035</v>
      </c>
      <c r="H37" t="s" s="6">
        <v>1119</v>
      </c>
      <c r="I37" t="s" s="6">
        <v>1120</v>
      </c>
      <c r="J37" t="s" s="6">
        <v>1121</v>
      </c>
      <c r="K37" t="s" s="6">
        <v>1039</v>
      </c>
      <c r="L37" t="s" s="6">
        <v>1122</v>
      </c>
      <c r="M37" t="s" s="6">
        <v>747</v>
      </c>
      <c r="N37" t="s" s="6">
        <v>1034</v>
      </c>
    </row>
    <row r="38" ht="38.0" customHeight="true">
      <c r="A38" t="s" s="5">
        <v>1123</v>
      </c>
      <c r="B38" t="s" s="5">
        <v>1055</v>
      </c>
      <c r="C38" t="s" s="5">
        <v>1124</v>
      </c>
      <c r="D38" t="s" s="5">
        <v>896</v>
      </c>
      <c r="E38" t="s" s="5">
        <v>195</v>
      </c>
      <c r="F38" t="s" s="10">
        <v>1034</v>
      </c>
      <c r="G38" t="s" s="5">
        <v>1035</v>
      </c>
      <c r="H38" t="s" s="5">
        <v>1125</v>
      </c>
      <c r="I38" t="s" s="5">
        <v>1126</v>
      </c>
      <c r="J38" t="s" s="5">
        <v>1127</v>
      </c>
      <c r="K38" t="s" s="5">
        <v>1039</v>
      </c>
      <c r="L38" t="s" s="5">
        <v>1128</v>
      </c>
      <c r="M38" t="s" s="5">
        <v>747</v>
      </c>
      <c r="N38" t="s" s="5">
        <v>1034</v>
      </c>
    </row>
    <row r="39" ht="38.0" customHeight="true">
      <c r="A39" t="s" s="6">
        <v>1129</v>
      </c>
      <c r="B39" t="s" s="6">
        <v>603</v>
      </c>
      <c r="C39" t="s" s="6">
        <v>1130</v>
      </c>
      <c r="D39" t="s" s="6">
        <v>896</v>
      </c>
      <c r="E39" t="s" s="6">
        <v>195</v>
      </c>
      <c r="F39" t="s" s="10">
        <v>1034</v>
      </c>
      <c r="G39" t="s" s="6">
        <v>1035</v>
      </c>
      <c r="H39" t="s" s="6">
        <v>1131</v>
      </c>
      <c r="I39" t="s" s="6">
        <v>1132</v>
      </c>
      <c r="J39" t="s" s="6">
        <v>1133</v>
      </c>
      <c r="K39" t="s" s="6">
        <v>1039</v>
      </c>
      <c r="L39" t="s" s="6">
        <v>1134</v>
      </c>
      <c r="M39" t="s" s="6">
        <v>747</v>
      </c>
      <c r="N39" t="s" s="6">
        <v>1034</v>
      </c>
    </row>
    <row r="40" ht="38.0" customHeight="true">
      <c r="A40" t="s" s="5">
        <v>1135</v>
      </c>
      <c r="B40" t="s" s="5">
        <v>1086</v>
      </c>
      <c r="C40" t="s" s="5">
        <v>1136</v>
      </c>
      <c r="D40" t="s" s="5">
        <v>937</v>
      </c>
      <c r="E40" t="s" s="5">
        <v>195</v>
      </c>
      <c r="F40" t="s" s="10">
        <v>1034</v>
      </c>
      <c r="G40" t="s" s="5">
        <v>1035</v>
      </c>
      <c r="H40" t="s" s="5">
        <v>1137</v>
      </c>
      <c r="I40" t="s" s="5">
        <v>1138</v>
      </c>
      <c r="J40" t="s" s="5">
        <v>1139</v>
      </c>
      <c r="K40" t="s" s="5">
        <v>1039</v>
      </c>
      <c r="L40" t="s" s="5">
        <v>1140</v>
      </c>
      <c r="M40" t="s" s="5">
        <v>317</v>
      </c>
      <c r="N40" t="s" s="5">
        <v>1034</v>
      </c>
    </row>
  </sheetData>
  <autoFilter ref="A4:N40"/>
  <mergeCells count="2">
    <mergeCell ref="A1:N1"/>
    <mergeCell ref="A2:N2"/>
  </mergeCells>
  <conditionalFormatting sqref="F5:F40">
    <cfRule type="expression" dxfId="4" priority="1">
      <formula>$F5="已关闭"</formula>
    </cfRule>
  </conditionalFormatting>
  <conditionalFormatting sqref="F5:F40">
    <cfRule type="expression" dxfId="5" priority="2">
      <formula>$F5="新建"</formula>
    </cfRule>
  </conditionalFormatting>
  <conditionalFormatting sqref="F5:F40">
    <cfRule type="expression" dxfId="6" priority="3">
      <formula>$F5="处理中"</formula>
    </cfRule>
  </conditionalFormatting>
  <conditionalFormatting sqref="F5:F40">
    <cfRule type="expression" dxfId="7" priority="4">
      <formula>$F5="调查中"</formula>
    </cfRule>
  </conditionalFormatting>
  <conditionalFormatting sqref="F5:F40">
    <cfRule type="expression" dxfId="8" priority="5">
      <formula>$F5="已接受"</formula>
    </cfRule>
  </conditionalFormatting>
  <dataValidations count="3">
    <dataValidation type="list" sqref="D5:D40" allowBlank="true" errorStyle="stop" showDropDown="false" showErrorMessage="true" errorTitle="输入无效" error="请从下拉列表中选择有效值。">
      <formula1>"阻断,高,中,低"</formula1>
    </dataValidation>
    <dataValidation type="list" sqref="E5:E40" allowBlank="true" errorStyle="stop" showDropDown="false" showErrorMessage="true" errorTitle="输入无效" error="请从下拉列表中选择有效值。">
      <formula1>"P0,P1,P2,P3"</formula1>
    </dataValidation>
    <dataValidation type="list" sqref="F5:F40" allowBlank="true" errorStyle="stop" showDropDown="false" showErrorMessage="true" errorTitle="输入无效" error="请从下拉列表中选择有效值。">
      <formula1>"新建,处理中,调查中,待复测,已关闭,已接受"</formula1>
    </dataValidation>
  </dataValidations>
  <pageMargins bottom="0.5" footer="0.3" header="0.3" left="0.3" right="0.3" top="0.5"/>
  <pageSetup orientation="landscape" fitToWidth="1" fitToHeight="0"/>
  <headerFooter>
    <oddHeader>&amp;C&amp;B智能商城软件测试文档</oddHeader>
    <oddFooter>&amp;L生成日期：2026-07-12&amp;R第 &amp;P 页 / 共 &amp;N 页</oddFooter>
  </headerFooter>
</worksheet>
</file>

<file path=xl/worksheets/sheet5.xml><?xml version="1.0" encoding="utf-8"?>
<worksheet xmlns="http://schemas.openxmlformats.org/spreadsheetml/2006/main">
  <sheetPr>
    <tabColor rgb="FF0F766E"/>
    <pageSetUpPr fitToPage="true" autoPageBreaks="true"/>
  </sheetPr>
  <dimension ref="A1:J79"/>
  <sheetViews>
    <sheetView workbookViewId="0" showGridLines="false" zoomScale="90" tabSelected="false">
      <pane ySplit="3.0" state="frozen" topLeftCell="A4" activePane="bottomLeft"/>
      <selection pane="bottomLeft"/>
    </sheetView>
  </sheetViews>
  <sheetFormatPr defaultRowHeight="15.0"/>
  <cols>
    <col min="1" max="1" width="14.0" customWidth="true"/>
    <col min="2" max="2" width="18.0" customWidth="true"/>
    <col min="3" max="3" width="28.0" customWidth="true"/>
    <col min="4" max="4" width="22.0" customWidth="true"/>
    <col min="5" max="5" width="20.0" customWidth="true"/>
    <col min="6" max="6" width="20.0" customWidth="true"/>
    <col min="7" max="7" width="28.0" customWidth="true"/>
    <col min="8" max="8" width="28.0" customWidth="true"/>
    <col min="9" max="9" width="24.0" customWidth="true"/>
    <col min="10" max="10" width="24.0" customWidth="true"/>
  </cols>
  <sheetData>
    <row r="1" ht="34.0" customHeight="true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</row>
    <row r="2" ht="30.0" customHeight="true">
      <c r="A2" s="2" t="s">
        <v>1141</v>
      </c>
      <c r="B2" s="2"/>
      <c r="C2" s="2"/>
      <c r="D2" s="2"/>
      <c r="E2" s="2"/>
      <c r="F2" s="2"/>
      <c r="G2" s="2"/>
      <c r="H2" s="2"/>
      <c r="I2" s="2"/>
      <c r="J2" s="2"/>
    </row>
    <row r="4" ht="27.0" customHeight="true">
      <c r="A4" s="3" t="s">
        <v>1142</v>
      </c>
      <c r="B4" s="3"/>
      <c r="C4" s="3"/>
      <c r="D4" s="3"/>
      <c r="E4" s="3"/>
      <c r="F4" s="3"/>
      <c r="G4" s="3"/>
      <c r="H4" s="3"/>
      <c r="I4" s="3"/>
      <c r="J4" s="3"/>
    </row>
    <row r="5" ht="32.0" customHeight="true">
      <c r="A5" t="s" s="4">
        <v>1143</v>
      </c>
      <c r="B5" t="s" s="4">
        <v>1144</v>
      </c>
      <c r="C5" t="s" s="4">
        <v>816</v>
      </c>
      <c r="D5" t="s" s="4">
        <v>1145</v>
      </c>
      <c r="E5" t="s" s="4">
        <v>1146</v>
      </c>
      <c r="F5" t="s" s="4">
        <v>1147</v>
      </c>
      <c r="G5" t="s" s="4">
        <v>1148</v>
      </c>
      <c r="H5" t="s" s="4">
        <v>783</v>
      </c>
    </row>
    <row r="6" ht="38.0" customHeight="true">
      <c r="A6" t="n" s="14">
        <v>1.0</v>
      </c>
      <c r="B6" t="s" s="5">
        <v>820</v>
      </c>
      <c r="C6" t="s" s="5">
        <v>821</v>
      </c>
      <c r="D6" t="s" s="5">
        <v>822</v>
      </c>
      <c r="E6" t="n" s="14">
        <v>0.0</v>
      </c>
      <c r="F6" t="s" s="5">
        <v>1149</v>
      </c>
      <c r="G6" t="s" s="5">
        <v>246</v>
      </c>
      <c r="H6" t="s" s="5">
        <v>1150</v>
      </c>
    </row>
    <row r="7" ht="38.0" customHeight="true">
      <c r="A7" t="n" s="14">
        <v>2.0</v>
      </c>
      <c r="B7" t="s" s="6">
        <v>826</v>
      </c>
      <c r="C7" t="s" s="6">
        <v>827</v>
      </c>
      <c r="D7" t="s" s="6">
        <v>828</v>
      </c>
      <c r="E7" t="n" s="14">
        <v>300.0</v>
      </c>
      <c r="F7" t="s" s="6">
        <v>1149</v>
      </c>
      <c r="G7" t="s" s="6">
        <v>246</v>
      </c>
      <c r="H7" t="s" s="6">
        <v>1151</v>
      </c>
    </row>
    <row r="8" ht="38.0" customHeight="true">
      <c r="A8" t="n" s="14">
        <v>3.0</v>
      </c>
      <c r="B8" t="s" s="5">
        <v>831</v>
      </c>
      <c r="C8" t="s" s="5">
        <v>827</v>
      </c>
      <c r="D8" t="s" s="5">
        <v>832</v>
      </c>
      <c r="E8" t="n" s="14">
        <v>120.0</v>
      </c>
      <c r="F8" t="s" s="5">
        <v>1149</v>
      </c>
      <c r="G8" t="s" s="5">
        <v>246</v>
      </c>
      <c r="H8" t="s" s="5">
        <v>1152</v>
      </c>
    </row>
    <row r="10" ht="27.0" customHeight="true">
      <c r="A10" s="3" t="s">
        <v>1153</v>
      </c>
      <c r="B10" s="3"/>
      <c r="C10" s="3"/>
      <c r="D10" s="3"/>
      <c r="E10" s="3"/>
      <c r="F10" s="3"/>
      <c r="G10" s="3"/>
      <c r="H10" s="3"/>
      <c r="I10" s="3"/>
      <c r="J10" s="3"/>
    </row>
    <row r="11" ht="32.0" customHeight="true">
      <c r="A11" t="s" s="4">
        <v>1154</v>
      </c>
      <c r="B11" t="s" s="4">
        <v>1155</v>
      </c>
      <c r="C11" t="s" s="4">
        <v>1156</v>
      </c>
      <c r="D11" t="s" s="4">
        <v>1157</v>
      </c>
      <c r="E11" t="s" s="4">
        <v>1158</v>
      </c>
    </row>
    <row r="12" ht="38.0" customHeight="true">
      <c r="A12" t="n" s="14">
        <v>1.0</v>
      </c>
      <c r="B12" t="s" s="5">
        <v>1159</v>
      </c>
      <c r="C12" s="5"/>
      <c r="D12" t="s" s="5">
        <v>1160</v>
      </c>
      <c r="E12" t="n" s="14">
        <v>1.0</v>
      </c>
    </row>
    <row r="13" ht="38.0" customHeight="true">
      <c r="A13" t="n" s="14">
        <v>2.0</v>
      </c>
      <c r="B13" t="s" s="6">
        <v>1161</v>
      </c>
      <c r="C13" s="6"/>
      <c r="D13" t="s" s="6">
        <v>1160</v>
      </c>
      <c r="E13" t="n" s="14">
        <v>2.0</v>
      </c>
    </row>
    <row r="14" ht="38.0" customHeight="true">
      <c r="A14" t="n" s="14">
        <v>3.0</v>
      </c>
      <c r="B14" t="s" s="5">
        <v>1162</v>
      </c>
      <c r="C14" s="5"/>
      <c r="D14" t="s" s="5">
        <v>1160</v>
      </c>
      <c r="E14" t="n" s="14">
        <v>3.0</v>
      </c>
    </row>
    <row r="15" ht="38.0" customHeight="true">
      <c r="A15" t="n" s="14">
        <v>4.0</v>
      </c>
      <c r="B15" t="s" s="6">
        <v>1163</v>
      </c>
      <c r="C15" t="n" s="14">
        <v>2.0</v>
      </c>
      <c r="D15" t="s" s="6">
        <v>1164</v>
      </c>
      <c r="E15" t="n" s="14">
        <v>1.0</v>
      </c>
    </row>
    <row r="16" ht="38.0" customHeight="true">
      <c r="A16" t="n" s="14">
        <v>5.0</v>
      </c>
      <c r="B16" t="s" s="5">
        <v>1165</v>
      </c>
      <c r="C16" t="n" s="14">
        <v>1.0</v>
      </c>
      <c r="D16" t="s" s="5">
        <v>1164</v>
      </c>
      <c r="E16" t="n" s="14">
        <v>2.0</v>
      </c>
    </row>
    <row r="17" ht="38.0" customHeight="true">
      <c r="A17" t="n" s="14">
        <v>6.0</v>
      </c>
      <c r="B17" t="s" s="6">
        <v>1166</v>
      </c>
      <c r="C17" t="n" s="14">
        <v>3.0</v>
      </c>
      <c r="D17" t="s" s="6">
        <v>1164</v>
      </c>
      <c r="E17" t="n" s="14">
        <v>1.0</v>
      </c>
    </row>
    <row r="18" ht="38.0" customHeight="true">
      <c r="A18" t="n" s="14">
        <v>7.0</v>
      </c>
      <c r="B18" t="s" s="5">
        <v>1167</v>
      </c>
      <c r="C18" s="5"/>
      <c r="D18" t="s" s="5">
        <v>1160</v>
      </c>
      <c r="E18" t="n" s="14">
        <v>4.0</v>
      </c>
    </row>
    <row r="19" ht="38.0" customHeight="true">
      <c r="A19" t="n" s="14">
        <v>8.0</v>
      </c>
      <c r="B19" t="s" s="6">
        <v>1168</v>
      </c>
      <c r="C19" s="6"/>
      <c r="D19" t="s" s="6">
        <v>1160</v>
      </c>
      <c r="E19" t="n" s="14">
        <v>5.0</v>
      </c>
    </row>
    <row r="20" ht="38.0" customHeight="true">
      <c r="A20" t="n" s="14">
        <v>9.0</v>
      </c>
      <c r="B20" t="s" s="5">
        <v>1169</v>
      </c>
      <c r="C20" s="5"/>
      <c r="D20" t="s" s="5">
        <v>1160</v>
      </c>
      <c r="E20" t="n" s="14">
        <v>6.0</v>
      </c>
    </row>
    <row r="21" ht="38.0" customHeight="true">
      <c r="A21" t="n" s="14">
        <v>10.0</v>
      </c>
      <c r="B21" t="s" s="6">
        <v>1170</v>
      </c>
      <c r="C21" s="6"/>
      <c r="D21" t="s" s="6">
        <v>1160</v>
      </c>
      <c r="E21" t="n" s="14">
        <v>7.0</v>
      </c>
    </row>
    <row r="22" ht="38.0" customHeight="true">
      <c r="A22" t="n" s="14">
        <v>11.0</v>
      </c>
      <c r="B22" t="s" s="5">
        <v>1171</v>
      </c>
      <c r="C22" t="n" s="14">
        <v>3.0</v>
      </c>
      <c r="D22" t="s" s="5">
        <v>1164</v>
      </c>
      <c r="E22" t="n" s="14">
        <v>2.0</v>
      </c>
    </row>
    <row r="23" ht="38.0" customHeight="true">
      <c r="A23" t="n" s="14">
        <v>12.0</v>
      </c>
      <c r="B23" t="s" s="6">
        <v>1172</v>
      </c>
      <c r="C23" t="n" s="14">
        <v>3.0</v>
      </c>
      <c r="D23" t="s" s="6">
        <v>1164</v>
      </c>
      <c r="E23" t="n" s="14">
        <v>3.0</v>
      </c>
    </row>
    <row r="24" ht="38.0" customHeight="true">
      <c r="A24" t="n" s="14">
        <v>13.0</v>
      </c>
      <c r="B24" t="s" s="5">
        <v>1173</v>
      </c>
      <c r="C24" t="n" s="14">
        <v>7.0</v>
      </c>
      <c r="D24" t="s" s="5">
        <v>1164</v>
      </c>
      <c r="E24" t="n" s="14">
        <v>1.0</v>
      </c>
    </row>
    <row r="25" ht="38.0" customHeight="true">
      <c r="A25" t="n" s="14">
        <v>14.0</v>
      </c>
      <c r="B25" t="s" s="6">
        <v>1174</v>
      </c>
      <c r="C25" t="n" s="14">
        <v>7.0</v>
      </c>
      <c r="D25" t="s" s="6">
        <v>1164</v>
      </c>
      <c r="E25" t="n" s="14">
        <v>2.0</v>
      </c>
    </row>
    <row r="26" ht="38.0" customHeight="true">
      <c r="A26" t="n" s="14">
        <v>15.0</v>
      </c>
      <c r="B26" t="s" s="5">
        <v>1175</v>
      </c>
      <c r="C26" t="n" s="14">
        <v>8.0</v>
      </c>
      <c r="D26" t="s" s="5">
        <v>1164</v>
      </c>
      <c r="E26" t="n" s="14">
        <v>1.0</v>
      </c>
    </row>
    <row r="27" ht="38.0" customHeight="true">
      <c r="A27" t="n" s="14">
        <v>16.0</v>
      </c>
      <c r="B27" t="s" s="6">
        <v>1176</v>
      </c>
      <c r="C27" t="n" s="14">
        <v>8.0</v>
      </c>
      <c r="D27" t="s" s="6">
        <v>1164</v>
      </c>
      <c r="E27" t="n" s="14">
        <v>2.0</v>
      </c>
    </row>
    <row r="28" ht="38.0" customHeight="true">
      <c r="A28" t="n" s="14">
        <v>17.0</v>
      </c>
      <c r="B28" t="s" s="5">
        <v>1177</v>
      </c>
      <c r="C28" t="n" s="14">
        <v>9.0</v>
      </c>
      <c r="D28" t="s" s="5">
        <v>1164</v>
      </c>
      <c r="E28" t="n" s="14">
        <v>1.0</v>
      </c>
    </row>
    <row r="29" ht="38.0" customHeight="true">
      <c r="A29" t="n" s="14">
        <v>18.0</v>
      </c>
      <c r="B29" t="s" s="6">
        <v>1178</v>
      </c>
      <c r="C29" t="n" s="14">
        <v>9.0</v>
      </c>
      <c r="D29" t="s" s="6">
        <v>1164</v>
      </c>
      <c r="E29" t="n" s="14">
        <v>2.0</v>
      </c>
    </row>
    <row r="30" ht="38.0" customHeight="true">
      <c r="A30" t="n" s="14">
        <v>19.0</v>
      </c>
      <c r="B30" t="s" s="5">
        <v>1179</v>
      </c>
      <c r="C30" t="n" s="14">
        <v>10.0</v>
      </c>
      <c r="D30" t="s" s="5">
        <v>1164</v>
      </c>
      <c r="E30" t="n" s="14">
        <v>1.0</v>
      </c>
    </row>
    <row r="31" ht="38.0" customHeight="true">
      <c r="A31" t="n" s="14">
        <v>20.0</v>
      </c>
      <c r="B31" t="s" s="6">
        <v>1180</v>
      </c>
      <c r="C31" t="n" s="14">
        <v>10.0</v>
      </c>
      <c r="D31" t="s" s="6">
        <v>1164</v>
      </c>
      <c r="E31" t="n" s="14">
        <v>2.0</v>
      </c>
    </row>
    <row r="33" ht="27.0" customHeight="true">
      <c r="A33" s="3" t="s">
        <v>1181</v>
      </c>
      <c r="B33" s="3"/>
      <c r="C33" s="3"/>
      <c r="D33" s="3"/>
      <c r="E33" s="3"/>
      <c r="F33" s="3"/>
      <c r="G33" s="3"/>
      <c r="H33" s="3"/>
      <c r="I33" s="3"/>
      <c r="J33" s="3"/>
    </row>
    <row r="34" ht="32.0" customHeight="true">
      <c r="A34" t="s" s="4">
        <v>1182</v>
      </c>
      <c r="B34" t="s" s="4">
        <v>1183</v>
      </c>
      <c r="C34" t="s" s="4">
        <v>1184</v>
      </c>
      <c r="D34" t="s" s="4">
        <v>1185</v>
      </c>
      <c r="E34" t="s" s="4">
        <v>1186</v>
      </c>
      <c r="F34" t="s" s="4">
        <v>1187</v>
      </c>
      <c r="G34" t="s" s="4">
        <v>742</v>
      </c>
      <c r="H34" t="s" s="4">
        <v>1188</v>
      </c>
      <c r="I34" t="s" s="4">
        <v>1189</v>
      </c>
    </row>
    <row r="35" ht="38.0" customHeight="true">
      <c r="A35" t="n" s="14">
        <v>1.0</v>
      </c>
      <c r="B35" t="n" s="14">
        <v>4.0</v>
      </c>
      <c r="C35" t="s" s="6">
        <v>1190</v>
      </c>
      <c r="D35" t="n" s="15">
        <v>399.0</v>
      </c>
      <c r="E35" t="n" s="14">
        <v>80.0</v>
      </c>
      <c r="F35" t="n" s="14">
        <v>320.0</v>
      </c>
      <c r="G35" t="s" s="6">
        <v>1191</v>
      </c>
      <c r="H35" t="n" s="14">
        <v>0.0</v>
      </c>
      <c r="I35" t="s" s="6">
        <v>1192</v>
      </c>
    </row>
    <row r="36" ht="38.0" customHeight="true">
      <c r="A36" t="n" s="14">
        <v>2.0</v>
      </c>
      <c r="B36" t="n" s="14">
        <v>4.0</v>
      </c>
      <c r="C36" t="s" s="5">
        <v>1193</v>
      </c>
      <c r="D36" t="n" s="15">
        <v>459.0</v>
      </c>
      <c r="E36" t="n" s="14">
        <v>45.0</v>
      </c>
      <c r="F36" t="n" s="14">
        <v>210.0</v>
      </c>
      <c r="G36" t="s" s="5">
        <v>1191</v>
      </c>
      <c r="H36" t="n" s="14">
        <v>0.0</v>
      </c>
      <c r="I36" t="s" s="5">
        <v>1194</v>
      </c>
    </row>
    <row r="37" ht="38.0" customHeight="true">
      <c r="A37" t="n" s="14">
        <v>3.0</v>
      </c>
      <c r="B37" t="n" s="14">
        <v>4.0</v>
      </c>
      <c r="C37" t="s" s="6">
        <v>1195</v>
      </c>
      <c r="D37" t="n" s="15">
        <v>199.0</v>
      </c>
      <c r="E37" t="n" s="14">
        <v>120.0</v>
      </c>
      <c r="F37" t="n" s="14">
        <v>500.0</v>
      </c>
      <c r="G37" t="s" s="6">
        <v>1191</v>
      </c>
      <c r="H37" t="n" s="14">
        <v>0.0</v>
      </c>
      <c r="I37" t="s" s="6">
        <v>1196</v>
      </c>
    </row>
    <row r="38" ht="38.0" customHeight="true">
      <c r="A38" t="n" s="14">
        <v>4.0</v>
      </c>
      <c r="B38" t="n" s="14">
        <v>2.0</v>
      </c>
      <c r="C38" t="s" s="5">
        <v>1197</v>
      </c>
      <c r="D38" t="n" s="15">
        <v>1699.0</v>
      </c>
      <c r="E38" t="n" s="14">
        <v>35.0</v>
      </c>
      <c r="F38" t="n" s="14">
        <v>96.0</v>
      </c>
      <c r="G38" t="s" s="5">
        <v>1191</v>
      </c>
      <c r="H38" t="n" s="14">
        <v>0.0</v>
      </c>
      <c r="I38" t="s" s="5">
        <v>1198</v>
      </c>
    </row>
    <row r="39" ht="38.0" customHeight="true">
      <c r="A39" t="n" s="14">
        <v>5.0</v>
      </c>
      <c r="B39" t="n" s="14">
        <v>2.0</v>
      </c>
      <c r="C39" t="s" s="6">
        <v>1199</v>
      </c>
      <c r="D39" t="n" s="15">
        <v>5299.0</v>
      </c>
      <c r="E39" t="n" s="14">
        <v>25.0</v>
      </c>
      <c r="F39" t="n" s="14">
        <v>88.0</v>
      </c>
      <c r="G39" t="s" s="6">
        <v>1191</v>
      </c>
      <c r="H39" t="n" s="14">
        <v>0.0</v>
      </c>
      <c r="I39" t="s" s="6">
        <v>1198</v>
      </c>
    </row>
    <row r="40" ht="38.0" customHeight="true">
      <c r="A40" t="n" s="14">
        <v>6.0</v>
      </c>
      <c r="B40" t="n" s="14">
        <v>1.0</v>
      </c>
      <c r="C40" t="s" s="5">
        <v>1200</v>
      </c>
      <c r="D40" t="n" s="15">
        <v>699.0</v>
      </c>
      <c r="E40" t="n" s="14">
        <v>60.0</v>
      </c>
      <c r="F40" t="n" s="14">
        <v>260.0</v>
      </c>
      <c r="G40" t="s" s="5">
        <v>1191</v>
      </c>
      <c r="H40" t="n" s="14">
        <v>0.0</v>
      </c>
      <c r="I40" t="s" s="5">
        <v>1201</v>
      </c>
    </row>
    <row r="41" ht="38.0" customHeight="true">
      <c r="A41" t="n" s="14">
        <v>7.0</v>
      </c>
      <c r="B41" t="n" s="14">
        <v>1.0</v>
      </c>
      <c r="C41" t="s" s="6">
        <v>1202</v>
      </c>
      <c r="D41" t="n" s="15">
        <v>899.0</v>
      </c>
      <c r="E41" t="n" s="14">
        <v>50.0</v>
      </c>
      <c r="F41" t="n" s="14">
        <v>150.0</v>
      </c>
      <c r="G41" t="s" s="6">
        <v>1191</v>
      </c>
      <c r="H41" t="n" s="14">
        <v>0.0</v>
      </c>
      <c r="I41" t="s" s="6">
        <v>1203</v>
      </c>
    </row>
    <row r="42" ht="38.0" customHeight="true">
      <c r="A42" t="n" s="14">
        <v>8.0</v>
      </c>
      <c r="B42" t="n" s="14">
        <v>5.0</v>
      </c>
      <c r="C42" t="s" s="5">
        <v>1204</v>
      </c>
      <c r="D42" t="n" s="15">
        <v>129.0</v>
      </c>
      <c r="E42" t="n" s="14">
        <v>150.0</v>
      </c>
      <c r="F42" t="n" s="14">
        <v>410.0</v>
      </c>
      <c r="G42" t="s" s="5">
        <v>1191</v>
      </c>
      <c r="H42" t="n" s="14">
        <v>0.0</v>
      </c>
      <c r="I42" t="s" s="5">
        <v>1205</v>
      </c>
    </row>
    <row r="43" ht="38.0" customHeight="true">
      <c r="A43" t="n" s="14">
        <v>9.0</v>
      </c>
      <c r="B43" t="n" s="14">
        <v>5.0</v>
      </c>
      <c r="C43" t="s" s="6">
        <v>1206</v>
      </c>
      <c r="D43" t="n" s="15">
        <v>39.0</v>
      </c>
      <c r="E43" t="n" s="14">
        <v>300.0</v>
      </c>
      <c r="F43" t="n" s="14">
        <v>800.0</v>
      </c>
      <c r="G43" t="s" s="6">
        <v>1191</v>
      </c>
      <c r="H43" t="n" s="14">
        <v>0.0</v>
      </c>
      <c r="I43" t="s" s="6">
        <v>1207</v>
      </c>
    </row>
    <row r="44" ht="38.0" customHeight="true">
      <c r="A44" t="n" s="14">
        <v>10.0</v>
      </c>
      <c r="B44" t="n" s="14">
        <v>6.0</v>
      </c>
      <c r="C44" t="s" s="5">
        <v>1208</v>
      </c>
      <c r="D44" t="n" s="15">
        <v>259.0</v>
      </c>
      <c r="E44" t="n" s="14">
        <v>70.0</v>
      </c>
      <c r="F44" t="n" s="14">
        <v>170.0</v>
      </c>
      <c r="G44" t="s" s="5">
        <v>1191</v>
      </c>
      <c r="H44" t="n" s="14">
        <v>0.0</v>
      </c>
      <c r="I44" t="s" s="5">
        <v>1209</v>
      </c>
    </row>
    <row r="45" ht="38.0" customHeight="true">
      <c r="A45" t="n" s="14">
        <v>11.0</v>
      </c>
      <c r="B45" t="n" s="14">
        <v>6.0</v>
      </c>
      <c r="C45" t="s" s="6">
        <v>1210</v>
      </c>
      <c r="D45" t="n" s="15">
        <v>59.0</v>
      </c>
      <c r="E45" t="n" s="14">
        <v>180.0</v>
      </c>
      <c r="F45" t="n" s="14">
        <v>390.0</v>
      </c>
      <c r="G45" t="s" s="6">
        <v>1191</v>
      </c>
      <c r="H45" t="n" s="14">
        <v>0.0</v>
      </c>
      <c r="I45" t="s" s="6">
        <v>1211</v>
      </c>
    </row>
    <row r="46" ht="38.0" customHeight="true">
      <c r="A46" t="n" s="14">
        <v>12.0</v>
      </c>
      <c r="B46" t="n" s="14">
        <v>3.0</v>
      </c>
      <c r="C46" t="s" s="5">
        <v>1212</v>
      </c>
      <c r="D46" t="n" s="15">
        <v>799.0</v>
      </c>
      <c r="E46" t="n" s="14">
        <v>32.0</v>
      </c>
      <c r="F46" t="n" s="14">
        <v>90.0</v>
      </c>
      <c r="G46" t="s" s="5">
        <v>1191</v>
      </c>
      <c r="H46" t="n" s="14">
        <v>0.0</v>
      </c>
      <c r="I46" t="s" s="5">
        <v>1213</v>
      </c>
    </row>
    <row r="47" ht="38.0" customHeight="true">
      <c r="A47" t="n" s="14">
        <v>13.0</v>
      </c>
      <c r="B47" t="n" s="14">
        <v>3.0</v>
      </c>
      <c r="C47" t="s" s="6">
        <v>1214</v>
      </c>
      <c r="D47" t="n" s="15">
        <v>1299.0</v>
      </c>
      <c r="E47" t="n" s="14">
        <v>20.0</v>
      </c>
      <c r="F47" t="n" s="14">
        <v>74.0</v>
      </c>
      <c r="G47" t="s" s="6">
        <v>1191</v>
      </c>
      <c r="H47" t="n" s="14">
        <v>0.0</v>
      </c>
      <c r="I47" t="s" s="6">
        <v>1215</v>
      </c>
    </row>
    <row r="48" ht="38.0" customHeight="true">
      <c r="A48" t="n" s="14">
        <v>14.0</v>
      </c>
      <c r="B48" t="n" s="14">
        <v>4.0</v>
      </c>
      <c r="C48" t="s" s="5">
        <v>1216</v>
      </c>
      <c r="D48" t="n" s="15">
        <v>599.0</v>
      </c>
      <c r="E48" t="n" s="14">
        <v>40.0</v>
      </c>
      <c r="F48" t="n" s="14">
        <v>230.0</v>
      </c>
      <c r="G48" t="s" s="5">
        <v>1191</v>
      </c>
      <c r="H48" t="n" s="14">
        <v>0.0</v>
      </c>
      <c r="I48" t="s" s="5">
        <v>1217</v>
      </c>
    </row>
    <row r="49" ht="38.0" customHeight="true">
      <c r="A49" t="n" s="14">
        <v>15.0</v>
      </c>
      <c r="B49" t="n" s="14">
        <v>4.0</v>
      </c>
      <c r="C49" t="s" s="6">
        <v>1218</v>
      </c>
      <c r="D49" t="n" s="15">
        <v>69.0</v>
      </c>
      <c r="E49" t="n" s="14">
        <v>200.0</v>
      </c>
      <c r="F49" t="n" s="14">
        <v>620.0</v>
      </c>
      <c r="G49" t="s" s="6">
        <v>1191</v>
      </c>
      <c r="H49" t="n" s="14">
        <v>0.0</v>
      </c>
      <c r="I49" t="s" s="6">
        <v>1219</v>
      </c>
    </row>
    <row r="50" ht="38.0" customHeight="true">
      <c r="A50" t="n" s="14">
        <v>16.0</v>
      </c>
      <c r="B50" t="n" s="14">
        <v>1.0</v>
      </c>
      <c r="C50" t="s" s="5">
        <v>1220</v>
      </c>
      <c r="D50" t="n" s="15">
        <v>239.0</v>
      </c>
      <c r="E50" t="n" s="14">
        <v>85.0</v>
      </c>
      <c r="F50" t="n" s="14">
        <v>160.0</v>
      </c>
      <c r="G50" t="s" s="5">
        <v>1191</v>
      </c>
      <c r="H50" t="n" s="14">
        <v>0.0</v>
      </c>
      <c r="I50" t="s" s="5">
        <v>1221</v>
      </c>
    </row>
    <row r="51" ht="38.0" customHeight="true">
      <c r="A51" t="n" s="14">
        <v>17.0</v>
      </c>
      <c r="B51" t="n" s="14">
        <v>2.0</v>
      </c>
      <c r="C51" t="s" s="6">
        <v>1222</v>
      </c>
      <c r="D51" t="n" s="15">
        <v>189.0</v>
      </c>
      <c r="E51" t="n" s="14">
        <v>95.0</v>
      </c>
      <c r="F51" t="n" s="14">
        <v>240.0</v>
      </c>
      <c r="G51" t="s" s="6">
        <v>1191</v>
      </c>
      <c r="H51" t="n" s="14">
        <v>0.0</v>
      </c>
      <c r="I51" t="s" s="6">
        <v>1203</v>
      </c>
    </row>
    <row r="52" ht="38.0" customHeight="true">
      <c r="A52" t="n" s="14">
        <v>18.0</v>
      </c>
      <c r="B52" t="n" s="14">
        <v>3.0</v>
      </c>
      <c r="C52" t="s" s="5">
        <v>1223</v>
      </c>
      <c r="D52" t="n" s="15">
        <v>119.0</v>
      </c>
      <c r="E52" t="n" s="14">
        <v>110.0</v>
      </c>
      <c r="F52" t="n" s="14">
        <v>140.0</v>
      </c>
      <c r="G52" t="s" s="5">
        <v>1191</v>
      </c>
      <c r="H52" t="n" s="14">
        <v>0.0</v>
      </c>
      <c r="I52" t="s" s="5">
        <v>1224</v>
      </c>
    </row>
    <row r="53" ht="38.0" customHeight="true">
      <c r="A53" t="n" s="14">
        <v>19.0</v>
      </c>
      <c r="B53" t="n" s="14">
        <v>6.0</v>
      </c>
      <c r="C53" t="s" s="6">
        <v>1225</v>
      </c>
      <c r="D53" t="n" s="15">
        <v>1099.0</v>
      </c>
      <c r="E53" t="n" s="14">
        <v>18.0</v>
      </c>
      <c r="F53" t="n" s="14">
        <v>65.0</v>
      </c>
      <c r="G53" t="s" s="6">
        <v>1191</v>
      </c>
      <c r="H53" t="n" s="14">
        <v>0.0</v>
      </c>
      <c r="I53" t="s" s="6">
        <v>1215</v>
      </c>
    </row>
    <row r="54" ht="38.0" customHeight="true">
      <c r="A54" t="n" s="14">
        <v>20.0</v>
      </c>
      <c r="B54" t="n" s="14">
        <v>5.0</v>
      </c>
      <c r="C54" t="s" s="5">
        <v>1226</v>
      </c>
      <c r="D54" t="n" s="15">
        <v>169.0</v>
      </c>
      <c r="E54" t="n" s="14">
        <v>130.0</v>
      </c>
      <c r="F54" t="n" s="14">
        <v>350.0</v>
      </c>
      <c r="G54" t="s" s="5">
        <v>1191</v>
      </c>
      <c r="H54" t="n" s="14">
        <v>0.0</v>
      </c>
      <c r="I54" t="s" s="5">
        <v>1211</v>
      </c>
    </row>
    <row r="55" ht="38.0" customHeight="true">
      <c r="A55" t="n" s="14">
        <v>21.0</v>
      </c>
      <c r="B55" t="n" s="14">
        <v>2.0</v>
      </c>
      <c r="C55" t="s" s="6">
        <v>1227</v>
      </c>
      <c r="D55" t="n" s="15">
        <v>9.9</v>
      </c>
      <c r="E55" t="n" s="14">
        <v>80.0</v>
      </c>
      <c r="F55" t="n" s="14">
        <v>0.0</v>
      </c>
      <c r="G55" t="s" s="6">
        <v>1191</v>
      </c>
      <c r="H55" t="n" s="14">
        <v>0.0</v>
      </c>
      <c r="I55" t="s" s="6">
        <v>1228</v>
      </c>
    </row>
    <row r="57" ht="27.0" customHeight="true">
      <c r="A57" s="3" t="s">
        <v>1229</v>
      </c>
      <c r="B57" s="3"/>
      <c r="C57" s="3"/>
      <c r="D57" s="3"/>
      <c r="E57" s="3"/>
      <c r="F57" s="3"/>
      <c r="G57" s="3"/>
      <c r="H57" s="3"/>
      <c r="I57" s="3"/>
      <c r="J57" s="3"/>
    </row>
    <row r="58" ht="32.0" customHeight="true">
      <c r="A58" t="s" s="4">
        <v>1230</v>
      </c>
      <c r="B58" t="s" s="4">
        <v>1231</v>
      </c>
      <c r="C58" t="s" s="4">
        <v>1232</v>
      </c>
      <c r="D58" t="s" s="4">
        <v>1233</v>
      </c>
      <c r="E58" t="s" s="4">
        <v>1234</v>
      </c>
      <c r="F58" t="s" s="4">
        <v>882</v>
      </c>
    </row>
    <row r="59" ht="38.0" customHeight="true">
      <c r="A59" t="s" s="6">
        <v>1235</v>
      </c>
      <c r="B59" t="s" s="6">
        <v>1236</v>
      </c>
      <c r="C59" t="s" s="6">
        <v>1237</v>
      </c>
      <c r="D59" t="s" s="6">
        <v>1238</v>
      </c>
      <c r="E59" t="s" s="6">
        <v>1239</v>
      </c>
      <c r="F59" t="s" s="6">
        <v>202</v>
      </c>
    </row>
    <row r="60" ht="38.0" customHeight="true">
      <c r="A60" t="s" s="5">
        <v>1240</v>
      </c>
      <c r="B60" t="s" s="5">
        <v>1236</v>
      </c>
      <c r="C60" t="s" s="5">
        <v>1241</v>
      </c>
      <c r="D60" t="s" s="5">
        <v>1242</v>
      </c>
      <c r="E60" t="s" s="5">
        <v>1243</v>
      </c>
      <c r="F60" t="s" s="5">
        <v>208</v>
      </c>
    </row>
    <row r="61" ht="38.0" customHeight="true">
      <c r="A61" t="s" s="6">
        <v>1244</v>
      </c>
      <c r="B61" t="s" s="6">
        <v>1245</v>
      </c>
      <c r="C61" t="s" s="6">
        <v>1246</v>
      </c>
      <c r="D61" t="s" s="6">
        <v>1247</v>
      </c>
      <c r="E61" t="s" s="6">
        <v>1248</v>
      </c>
      <c r="F61" t="s" s="6">
        <v>178</v>
      </c>
    </row>
    <row r="62" ht="38.0" customHeight="true">
      <c r="A62" t="s" s="5">
        <v>1249</v>
      </c>
      <c r="B62" t="s" s="5">
        <v>1250</v>
      </c>
      <c r="C62" t="s" s="5">
        <v>1251</v>
      </c>
      <c r="D62" t="s" s="5">
        <v>1252</v>
      </c>
      <c r="E62" t="s" s="5">
        <v>1253</v>
      </c>
      <c r="F62" t="s" s="5">
        <v>268</v>
      </c>
    </row>
    <row r="63" ht="38.0" customHeight="true">
      <c r="A63" t="s" s="6">
        <v>1254</v>
      </c>
      <c r="B63" t="s" s="6">
        <v>1250</v>
      </c>
      <c r="C63" t="s" s="6">
        <v>1255</v>
      </c>
      <c r="D63" t="s" s="6">
        <v>1256</v>
      </c>
      <c r="E63" t="s" s="6">
        <v>1243</v>
      </c>
      <c r="F63" t="s" s="6">
        <v>323</v>
      </c>
    </row>
    <row r="64" ht="38.0" customHeight="true">
      <c r="A64" t="s" s="5">
        <v>1257</v>
      </c>
      <c r="B64" t="s" s="5">
        <v>1258</v>
      </c>
      <c r="C64" t="s" s="5">
        <v>1259</v>
      </c>
      <c r="D64" t="s" s="5">
        <v>1260</v>
      </c>
      <c r="E64" t="s" s="5">
        <v>1261</v>
      </c>
      <c r="F64" t="s" s="5">
        <v>262</v>
      </c>
    </row>
    <row r="65" ht="38.0" customHeight="true">
      <c r="A65" t="s" s="6">
        <v>1262</v>
      </c>
      <c r="B65" t="s" s="6">
        <v>1258</v>
      </c>
      <c r="C65" t="s" s="6">
        <v>1263</v>
      </c>
      <c r="D65" t="s" s="6">
        <v>1264</v>
      </c>
      <c r="E65" t="s" s="6">
        <v>1265</v>
      </c>
      <c r="F65" t="s" s="6">
        <v>298</v>
      </c>
    </row>
    <row r="66" ht="38.0" customHeight="true">
      <c r="A66" t="s" s="5">
        <v>1266</v>
      </c>
      <c r="B66" t="s" s="5">
        <v>1267</v>
      </c>
      <c r="C66" t="s" s="5">
        <v>1268</v>
      </c>
      <c r="D66" t="s" s="5">
        <v>1269</v>
      </c>
      <c r="E66" t="s" s="5">
        <v>1239</v>
      </c>
      <c r="F66" t="s" s="5">
        <v>306</v>
      </c>
    </row>
    <row r="67" ht="38.0" customHeight="true">
      <c r="A67" t="s" s="6">
        <v>1270</v>
      </c>
      <c r="B67" t="s" s="6">
        <v>1271</v>
      </c>
      <c r="C67" t="s" s="6">
        <v>1272</v>
      </c>
      <c r="D67" t="s" s="6">
        <v>1273</v>
      </c>
      <c r="E67" t="s" s="6">
        <v>1239</v>
      </c>
      <c r="F67" t="s" s="6">
        <v>313</v>
      </c>
    </row>
    <row r="68" ht="38.0" customHeight="true">
      <c r="A68" t="s" s="5">
        <v>1274</v>
      </c>
      <c r="B68" t="s" s="5">
        <v>1275</v>
      </c>
      <c r="C68" t="s" s="5">
        <v>1276</v>
      </c>
      <c r="D68" t="s" s="5">
        <v>1277</v>
      </c>
      <c r="E68" t="s" s="5">
        <v>1239</v>
      </c>
      <c r="F68" t="s" s="5">
        <v>349</v>
      </c>
    </row>
    <row r="69" ht="38.0" customHeight="true">
      <c r="A69" t="s" s="6">
        <v>1278</v>
      </c>
      <c r="B69" t="s" s="6">
        <v>1275</v>
      </c>
      <c r="C69" t="s" s="6">
        <v>1279</v>
      </c>
      <c r="D69" t="s" s="6">
        <v>1242</v>
      </c>
      <c r="E69" t="s" s="6">
        <v>1243</v>
      </c>
      <c r="F69" t="s" s="6">
        <v>355</v>
      </c>
    </row>
    <row r="70" ht="38.0" customHeight="true">
      <c r="A70" t="s" s="5">
        <v>1280</v>
      </c>
      <c r="B70" t="s" s="5">
        <v>1281</v>
      </c>
      <c r="C70" t="s" s="5">
        <v>1282</v>
      </c>
      <c r="D70" t="s" s="5">
        <v>1283</v>
      </c>
      <c r="E70" t="s" s="5">
        <v>1284</v>
      </c>
      <c r="F70" t="s" s="5">
        <v>434</v>
      </c>
    </row>
    <row r="71" ht="38.0" customHeight="true">
      <c r="A71" t="s" s="6">
        <v>1285</v>
      </c>
      <c r="B71" t="s" s="6">
        <v>1286</v>
      </c>
      <c r="C71" t="s" s="6">
        <v>1287</v>
      </c>
      <c r="D71" t="s" s="6">
        <v>1288</v>
      </c>
      <c r="E71" t="s" s="6">
        <v>1289</v>
      </c>
      <c r="F71" t="s" s="6">
        <v>498</v>
      </c>
    </row>
    <row r="72" ht="38.0" customHeight="true">
      <c r="A72" t="s" s="5">
        <v>1290</v>
      </c>
      <c r="B72" t="s" s="5">
        <v>1291</v>
      </c>
      <c r="C72" t="s" s="5">
        <v>1292</v>
      </c>
      <c r="D72" t="s" s="5">
        <v>1293</v>
      </c>
      <c r="E72" t="s" s="5">
        <v>1294</v>
      </c>
      <c r="F72" t="s" s="5">
        <v>522</v>
      </c>
    </row>
    <row r="74" ht="27.0" customHeight="true">
      <c r="A74" s="3" t="s">
        <v>1295</v>
      </c>
      <c r="B74" s="3"/>
      <c r="C74" s="3"/>
      <c r="D74" s="3"/>
      <c r="E74" s="3"/>
      <c r="F74" s="3"/>
      <c r="G74" s="3"/>
      <c r="H74" s="3"/>
      <c r="I74" s="3"/>
      <c r="J74" s="3"/>
    </row>
    <row r="75" ht="32.0" customHeight="true">
      <c r="A75" t="s" s="4">
        <v>149</v>
      </c>
      <c r="B75" t="s" s="4">
        <v>1296</v>
      </c>
      <c r="C75" t="s" s="4">
        <v>1297</v>
      </c>
      <c r="D75" t="s" s="4">
        <v>1298</v>
      </c>
      <c r="E75" t="s" s="4">
        <v>1299</v>
      </c>
      <c r="F75" t="s" s="4">
        <v>1300</v>
      </c>
    </row>
    <row r="76" ht="48.0" customHeight="true">
      <c r="A76" t="s" s="5">
        <v>1301</v>
      </c>
      <c r="B76" t="s" s="5">
        <v>1302</v>
      </c>
      <c r="C76" t="s" s="5">
        <v>1303</v>
      </c>
      <c r="D76" t="s" s="5">
        <v>1304</v>
      </c>
      <c r="E76" t="s" s="5">
        <v>1305</v>
      </c>
      <c r="F76" t="s" s="5">
        <v>1306</v>
      </c>
    </row>
    <row r="77" ht="48.0" customHeight="true">
      <c r="A77" t="s" s="6">
        <v>1307</v>
      </c>
      <c r="B77" t="s" s="6">
        <v>1308</v>
      </c>
      <c r="C77" t="s" s="6">
        <v>1309</v>
      </c>
      <c r="D77" t="s" s="6">
        <v>1310</v>
      </c>
      <c r="E77" t="s" s="6">
        <v>447</v>
      </c>
      <c r="F77" t="s" s="6">
        <v>1311</v>
      </c>
    </row>
    <row r="78" ht="38.0" customHeight="true">
      <c r="A78" t="s" s="5">
        <v>1312</v>
      </c>
      <c r="B78" t="s" s="5">
        <v>826</v>
      </c>
      <c r="C78" t="s" s="5">
        <v>1313</v>
      </c>
      <c r="D78" t="s" s="5">
        <v>1314</v>
      </c>
      <c r="E78" t="s" s="5">
        <v>1315</v>
      </c>
      <c r="F78" t="s" s="5">
        <v>1316</v>
      </c>
    </row>
    <row r="79" ht="38.0" customHeight="true">
      <c r="A79" t="s" s="6">
        <v>1317</v>
      </c>
      <c r="B79" t="s" s="6">
        <v>1318</v>
      </c>
      <c r="C79" t="s" s="6">
        <v>1319</v>
      </c>
      <c r="D79" t="s" s="6">
        <v>1320</v>
      </c>
      <c r="E79" t="s" s="6">
        <v>1321</v>
      </c>
      <c r="F79" t="s" s="6">
        <v>1322</v>
      </c>
    </row>
  </sheetData>
  <mergeCells count="7">
    <mergeCell ref="A1:J1"/>
    <mergeCell ref="A2:J2"/>
    <mergeCell ref="A4:J4"/>
    <mergeCell ref="A10:J10"/>
    <mergeCell ref="A33:J33"/>
    <mergeCell ref="A57:J57"/>
    <mergeCell ref="A74:J74"/>
  </mergeCells>
  <pageMargins bottom="0.5" footer="0.3" header="0.3" left="0.3" right="0.3" top="0.5"/>
  <pageSetup orientation="landscape" fitToWidth="1" fitToHeight="0"/>
  <headerFooter>
    <oddHeader>&amp;C&amp;B智能商城软件测试文档</oddHeader>
    <oddFooter>&amp;L生成日期：2026-07-12&amp;R第 &amp;P 页 / 共 &amp;N 页</oddFooter>
  </headerFooter>
</worksheet>
</file>

<file path=xl/worksheets/sheet6.xml><?xml version="1.0" encoding="utf-8"?>
<worksheet xmlns="http://schemas.openxmlformats.org/spreadsheetml/2006/main">
  <sheetPr>
    <tabColor rgb="FF0F766E"/>
    <pageSetUpPr fitToPage="true" autoPageBreaks="true"/>
  </sheetPr>
  <dimension ref="A1:H41"/>
  <sheetViews>
    <sheetView workbookViewId="0" showGridLines="false" zoomScale="90" tabSelected="false">
      <pane ySplit="3.0" state="frozen" topLeftCell="A4" activePane="bottomLeft"/>
      <selection pane="bottomLeft"/>
    </sheetView>
  </sheetViews>
  <sheetFormatPr defaultRowHeight="15.0"/>
  <cols>
    <col min="1" max="1" width="20.0" customWidth="true"/>
    <col min="2" max="2" width="18.0" customWidth="true"/>
    <col min="3" max="3" width="20.0" customWidth="true"/>
    <col min="4" max="4" width="18.0" customWidth="true"/>
    <col min="5" max="5" width="22.0" customWidth="true"/>
    <col min="6" max="6" width="18.0" customWidth="true"/>
    <col min="7" max="7" width="24.0" customWidth="true"/>
    <col min="8" max="8" width="28.0" customWidth="true"/>
  </cols>
  <sheetData>
    <row r="1" ht="34.0" customHeight="true">
      <c r="A1" s="1" t="s">
        <v>1323</v>
      </c>
      <c r="B1" s="1"/>
      <c r="C1" s="1"/>
      <c r="D1" s="1"/>
      <c r="E1" s="1"/>
      <c r="F1" s="1"/>
      <c r="G1" s="1"/>
      <c r="H1" s="1"/>
    </row>
    <row r="2" ht="30.0" customHeight="true">
      <c r="A2" s="2" t="s">
        <v>1324</v>
      </c>
      <c r="B2" s="2"/>
      <c r="C2" s="2"/>
      <c r="D2" s="2"/>
      <c r="E2" s="2"/>
      <c r="F2" s="2"/>
      <c r="G2" s="2"/>
      <c r="H2" s="2"/>
    </row>
    <row r="4" ht="34.0" customHeight="true">
      <c r="A4" t="s" s="18">
        <v>1325</v>
      </c>
      <c r="B4" s="19" t="n">
        <f>COUNTA('测试用例'!$A$5:$A$200)</f>
        <v>74.0</v>
      </c>
      <c r="C4" t="s" s="18">
        <v>122</v>
      </c>
      <c r="D4" s="19" t="n">
        <f>COUNTIF('测试用例'!$K$5:$K$200,"通过")</f>
        <v>54.0</v>
      </c>
      <c r="E4" t="s" s="18">
        <v>132</v>
      </c>
      <c r="F4" s="19" t="n">
        <f>COUNTIF('测试用例'!$K$5:$K$200,"失败")</f>
        <v>17.0</v>
      </c>
      <c r="G4" t="s" s="18">
        <v>661</v>
      </c>
      <c r="H4" s="19" t="n">
        <f>COUNTIF('测试用例'!$K$5:$K$200,"未执行")</f>
        <v>3.0</v>
      </c>
    </row>
    <row r="5" ht="34.0" customHeight="true">
      <c r="A5" t="s" s="18">
        <v>1326</v>
      </c>
      <c r="B5" s="20" t="n">
        <f>IF((B4-H4)=0,0,D4/(B4-H4))</f>
        <v>0.7605633802816901</v>
      </c>
      <c r="C5" t="s" s="18">
        <v>1327</v>
      </c>
      <c r="D5" s="19" t="n">
        <f>COUNTIFS('缺陷登记'!$D$5:$D$80,"阻断",'缺陷登记'!$F$5:$F$80,"&lt;&gt;已关闭")</f>
        <v>1.0</v>
      </c>
      <c r="E5" t="s" s="18">
        <v>1328</v>
      </c>
      <c r="F5" s="19" t="n">
        <f>COUNTIFS('缺陷登记'!$D$5:$D$80,"高",'缺陷登记'!$F$5:$F$80,"&lt;&gt;已关闭")</f>
        <v>5.0</v>
      </c>
      <c r="G5" t="s" s="18">
        <v>1329</v>
      </c>
      <c r="H5" t="s" s="11">
        <v>1330</v>
      </c>
    </row>
    <row r="7" ht="27.0" customHeight="true">
      <c r="A7" s="3" t="s">
        <v>1331</v>
      </c>
      <c r="B7" s="3"/>
      <c r="C7" s="3"/>
      <c r="D7" s="3"/>
      <c r="E7" s="3"/>
      <c r="F7" s="3"/>
      <c r="G7" s="3"/>
      <c r="H7" s="3"/>
    </row>
    <row r="8">
      <c r="A8" t="s" s="4">
        <v>21</v>
      </c>
      <c r="B8" t="s" s="4">
        <v>1332</v>
      </c>
      <c r="C8" t="s" s="4">
        <v>122</v>
      </c>
      <c r="D8" t="s" s="4">
        <v>132</v>
      </c>
      <c r="E8" t="s" s="4">
        <v>1333</v>
      </c>
      <c r="F8" t="s" s="4">
        <v>661</v>
      </c>
      <c r="G8" t="s" s="4">
        <v>1334</v>
      </c>
      <c r="H8" t="s" s="4">
        <v>119</v>
      </c>
    </row>
    <row r="9" ht="30.0" customHeight="true">
      <c r="A9" t="s" s="6">
        <v>26</v>
      </c>
      <c r="B9" s="14" t="n">
        <f>COUNTIF('测试用例'!$B$5:$B$200,A9)</f>
        <v>11.0</v>
      </c>
      <c r="C9" s="14" t="n">
        <f>COUNTIFS('测试用例'!$B$5:$B$200,A9,'测试用例'!$K$5:$K$200,"通过")</f>
        <v>9.0</v>
      </c>
      <c r="D9" s="14" t="n">
        <f>COUNTIFS('测试用例'!$B$5:$B$200,A9,'测试用例'!$K$5:$K$200,"失败")</f>
        <v>2.0</v>
      </c>
      <c r="E9" s="14" t="n">
        <f>COUNTIFS('测试用例'!$B$5:$B$200,A9,'测试用例'!$K$5:$K$200,"阻塞")</f>
        <v>0.0</v>
      </c>
      <c r="F9" s="14" t="n">
        <f>COUNTIFS('测试用例'!$B$5:$B$200,A9,'测试用例'!$K$5:$K$200,"未执行")</f>
        <v>0.0</v>
      </c>
      <c r="G9" s="17" t="n">
        <f>IF((B9-F9)=0,0,C9/(B9-F9))</f>
        <v>0.8181818181818182</v>
      </c>
      <c r="H9" t="s" s="6">
        <v>1335</v>
      </c>
    </row>
    <row r="10" ht="30.0" customHeight="true">
      <c r="A10" t="s" s="5">
        <v>30</v>
      </c>
      <c r="B10" s="14" t="n">
        <f>COUNTIF('测试用例'!$B$5:$B$200,A10)</f>
        <v>12.0</v>
      </c>
      <c r="C10" s="14" t="n">
        <f>COUNTIFS('测试用例'!$B$5:$B$200,A10,'测试用例'!$K$5:$K$200,"通过")</f>
        <v>9.0</v>
      </c>
      <c r="D10" s="14" t="n">
        <f>COUNTIFS('测试用例'!$B$5:$B$200,A10,'测试用例'!$K$5:$K$200,"失败")</f>
        <v>3.0</v>
      </c>
      <c r="E10" s="14" t="n">
        <f>COUNTIFS('测试用例'!$B$5:$B$200,A10,'测试用例'!$K$5:$K$200,"阻塞")</f>
        <v>0.0</v>
      </c>
      <c r="F10" s="14" t="n">
        <f>COUNTIFS('测试用例'!$B$5:$B$200,A10,'测试用例'!$K$5:$K$200,"未执行")</f>
        <v>0.0</v>
      </c>
      <c r="G10" s="17" t="n">
        <f>IF((B10-F10)=0,0,C10/(B10-F10))</f>
        <v>0.75</v>
      </c>
      <c r="H10" t="s" s="5">
        <v>1336</v>
      </c>
    </row>
    <row r="11" ht="30.0" customHeight="true">
      <c r="A11" t="s" s="6">
        <v>329</v>
      </c>
      <c r="B11" s="14" t="n">
        <f>COUNTIF('测试用例'!$B$5:$B$200,A11)</f>
        <v>8.0</v>
      </c>
      <c r="C11" s="14" t="n">
        <f>COUNTIFS('测试用例'!$B$5:$B$200,A11,'测试用例'!$K$5:$K$200,"通过")</f>
        <v>7.0</v>
      </c>
      <c r="D11" s="14" t="n">
        <f>COUNTIFS('测试用例'!$B$5:$B$200,A11,'测试用例'!$K$5:$K$200,"失败")</f>
        <v>1.0</v>
      </c>
      <c r="E11" s="14" t="n">
        <f>COUNTIFS('测试用例'!$B$5:$B$200,A11,'测试用例'!$K$5:$K$200,"阻塞")</f>
        <v>0.0</v>
      </c>
      <c r="F11" s="14" t="n">
        <f>COUNTIFS('测试用例'!$B$5:$B$200,A11,'测试用例'!$K$5:$K$200,"未执行")</f>
        <v>0.0</v>
      </c>
      <c r="G11" s="17" t="n">
        <f>IF((B11-F11)=0,0,C11/(B11-F11))</f>
        <v>0.875</v>
      </c>
      <c r="H11" t="s" s="6">
        <v>1337</v>
      </c>
    </row>
    <row r="12" ht="30.0" customHeight="true">
      <c r="A12" t="s" s="5">
        <v>383</v>
      </c>
      <c r="B12" s="14" t="n">
        <f>COUNTIF('测试用例'!$B$5:$B$200,A12)</f>
        <v>14.0</v>
      </c>
      <c r="C12" s="14" t="n">
        <f>COUNTIFS('测试用例'!$B$5:$B$200,A12,'测试用例'!$K$5:$K$200,"通过")</f>
        <v>11.0</v>
      </c>
      <c r="D12" s="14" t="n">
        <f>COUNTIFS('测试用例'!$B$5:$B$200,A12,'测试用例'!$K$5:$K$200,"失败")</f>
        <v>3.0</v>
      </c>
      <c r="E12" s="14" t="n">
        <f>COUNTIFS('测试用例'!$B$5:$B$200,A12,'测试用例'!$K$5:$K$200,"阻塞")</f>
        <v>0.0</v>
      </c>
      <c r="F12" s="14" t="n">
        <f>COUNTIFS('测试用例'!$B$5:$B$200,A12,'测试用例'!$K$5:$K$200,"未执行")</f>
        <v>0.0</v>
      </c>
      <c r="G12" s="17" t="n">
        <f>IF((B12-F12)=0,0,C12/(B12-F12))</f>
        <v>0.7857142857142857</v>
      </c>
      <c r="H12" t="s" s="5">
        <v>1338</v>
      </c>
    </row>
    <row r="13" ht="30.0" customHeight="true">
      <c r="A13" t="s" s="6">
        <v>487</v>
      </c>
      <c r="B13" s="14" t="n">
        <f>COUNTIF('测试用例'!$B$5:$B$200,A13)</f>
        <v>14.0</v>
      </c>
      <c r="C13" s="14" t="n">
        <f>COUNTIFS('测试用例'!$B$5:$B$200,A13,'测试用例'!$K$5:$K$200,"通过")</f>
        <v>9.0</v>
      </c>
      <c r="D13" s="14" t="n">
        <f>COUNTIFS('测试用例'!$B$5:$B$200,A13,'测试用例'!$K$5:$K$200,"失败")</f>
        <v>5.0</v>
      </c>
      <c r="E13" s="14" t="n">
        <f>COUNTIFS('测试用例'!$B$5:$B$200,A13,'测试用例'!$K$5:$K$200,"阻塞")</f>
        <v>0.0</v>
      </c>
      <c r="F13" s="14" t="n">
        <f>COUNTIFS('测试用例'!$B$5:$B$200,A13,'测试用例'!$K$5:$K$200,"未执行")</f>
        <v>0.0</v>
      </c>
      <c r="G13" s="17" t="n">
        <f>IF((B13-F13)=0,0,C13/(B13-F13))</f>
        <v>0.6428571428571429</v>
      </c>
      <c r="H13" t="s" s="6">
        <v>1339</v>
      </c>
    </row>
    <row r="14" ht="30.0" customHeight="true">
      <c r="A14" t="s" s="5">
        <v>601</v>
      </c>
      <c r="B14" s="14" t="n">
        <f>COUNTIF('测试用例'!$B$5:$B$200,A14)</f>
        <v>15.0</v>
      </c>
      <c r="C14" s="14" t="n">
        <f>COUNTIFS('测试用例'!$B$5:$B$200,A14,'测试用例'!$K$5:$K$200,"通过")</f>
        <v>9.0</v>
      </c>
      <c r="D14" s="14" t="n">
        <f>COUNTIFS('测试用例'!$B$5:$B$200,A14,'测试用例'!$K$5:$K$200,"失败")</f>
        <v>3.0</v>
      </c>
      <c r="E14" s="14" t="n">
        <f>COUNTIFS('测试用例'!$B$5:$B$200,A14,'测试用例'!$K$5:$K$200,"阻塞")</f>
        <v>0.0</v>
      </c>
      <c r="F14" s="14" t="n">
        <f>COUNTIFS('测试用例'!$B$5:$B$200,A14,'测试用例'!$K$5:$K$200,"未执行")</f>
        <v>3.0</v>
      </c>
      <c r="G14" s="17" t="n">
        <f>IF((B14-F14)=0,0,C14/(B14-F14))</f>
        <v>0.75</v>
      </c>
      <c r="H14" t="s" s="5">
        <v>1340</v>
      </c>
    </row>
    <row r="16" ht="27.0" customHeight="true">
      <c r="A16" s="3" t="s">
        <v>1341</v>
      </c>
      <c r="B16" s="3"/>
      <c r="C16" s="3"/>
      <c r="D16" s="3"/>
      <c r="E16" s="3"/>
      <c r="F16" s="3"/>
      <c r="G16" s="3"/>
      <c r="H16" s="3"/>
    </row>
    <row r="17" ht="32.0" customHeight="true">
      <c r="A17" t="s" s="4">
        <v>1342</v>
      </c>
      <c r="B17" t="s" s="4">
        <v>155</v>
      </c>
      <c r="C17" t="s" s="4">
        <v>1343</v>
      </c>
      <c r="D17" t="s" s="4">
        <v>1344</v>
      </c>
    </row>
    <row r="18" ht="48.0" customHeight="true">
      <c r="A18" t="s" s="5">
        <v>849</v>
      </c>
      <c r="B18" t="s" s="5">
        <v>1345</v>
      </c>
      <c r="C18" t="s" s="5">
        <v>1346</v>
      </c>
      <c r="D18" t="s" s="10">
        <v>122</v>
      </c>
    </row>
    <row r="19" ht="38.0" customHeight="true">
      <c r="A19" t="s" s="6">
        <v>636</v>
      </c>
      <c r="B19" t="s" s="6">
        <v>1347</v>
      </c>
      <c r="C19" t="s" s="6">
        <v>1348</v>
      </c>
      <c r="D19" t="s" s="12">
        <v>1349</v>
      </c>
    </row>
    <row r="20" ht="48.0" customHeight="true">
      <c r="A20" t="s" s="5">
        <v>1350</v>
      </c>
      <c r="B20" t="s" s="5">
        <v>864</v>
      </c>
      <c r="C20" t="s" s="5">
        <v>1351</v>
      </c>
      <c r="D20" t="s" s="10">
        <v>122</v>
      </c>
    </row>
    <row r="21" ht="48.0" customHeight="true">
      <c r="A21" t="s" s="6">
        <v>1352</v>
      </c>
      <c r="B21" t="s" s="6">
        <v>1353</v>
      </c>
      <c r="C21" t="s" s="6">
        <v>1354</v>
      </c>
      <c r="D21" t="s" s="10">
        <v>122</v>
      </c>
    </row>
    <row r="22" ht="38.0" customHeight="true">
      <c r="A22" t="s" s="5">
        <v>646</v>
      </c>
      <c r="B22" t="s" s="5">
        <v>1355</v>
      </c>
      <c r="C22" t="s" s="5">
        <v>1356</v>
      </c>
      <c r="D22" t="s" s="12">
        <v>1357</v>
      </c>
    </row>
    <row r="23" ht="38.0" customHeight="true">
      <c r="A23" t="s" s="6">
        <v>1358</v>
      </c>
      <c r="B23" t="s" s="6">
        <v>1359</v>
      </c>
      <c r="C23" t="s" s="6">
        <v>1360</v>
      </c>
      <c r="D23" t="s" s="11">
        <v>132</v>
      </c>
    </row>
    <row r="24" ht="38.0" customHeight="true">
      <c r="A24" t="s" s="5">
        <v>1361</v>
      </c>
      <c r="B24" t="s" s="5">
        <v>1362</v>
      </c>
      <c r="C24" t="s" s="5">
        <v>1363</v>
      </c>
      <c r="D24" t="s" s="11">
        <v>132</v>
      </c>
    </row>
    <row r="26" ht="27.0" customHeight="true">
      <c r="A26" s="3" t="s">
        <v>1364</v>
      </c>
      <c r="B26" s="3"/>
      <c r="C26" s="3"/>
      <c r="D26" s="3"/>
      <c r="E26" s="3"/>
      <c r="F26" s="3"/>
      <c r="G26" s="3"/>
      <c r="H26" s="3"/>
    </row>
    <row r="27" ht="32.0" customHeight="true">
      <c r="A27" t="s" s="4">
        <v>1365</v>
      </c>
      <c r="B27" t="s" s="4">
        <v>1366</v>
      </c>
      <c r="C27" t="s" s="4">
        <v>1367</v>
      </c>
      <c r="D27" t="s" s="4">
        <v>1368</v>
      </c>
      <c r="E27" t="s" s="4">
        <v>1369</v>
      </c>
    </row>
    <row r="28" ht="38.0" customHeight="true">
      <c r="A28" t="s" s="5">
        <v>886</v>
      </c>
      <c r="B28" t="s" s="5">
        <v>1370</v>
      </c>
      <c r="C28" t="s" s="5">
        <v>1371</v>
      </c>
      <c r="D28" t="s" s="5">
        <v>1372</v>
      </c>
      <c r="E28" t="s" s="5">
        <v>1373</v>
      </c>
    </row>
    <row r="29" ht="38.0" customHeight="true">
      <c r="A29" t="s" s="6">
        <v>896</v>
      </c>
      <c r="B29" t="s" s="6">
        <v>1374</v>
      </c>
      <c r="C29" t="s" s="6">
        <v>1375</v>
      </c>
      <c r="D29" t="s" s="6">
        <v>1376</v>
      </c>
      <c r="E29" t="s" s="6">
        <v>1377</v>
      </c>
    </row>
    <row r="30" ht="38.0" customHeight="true">
      <c r="A30" t="s" s="5">
        <v>896</v>
      </c>
      <c r="B30" t="s" s="5">
        <v>1378</v>
      </c>
      <c r="C30" t="s" s="5">
        <v>1379</v>
      </c>
      <c r="D30" t="s" s="5">
        <v>1380</v>
      </c>
      <c r="E30" t="s" s="5">
        <v>1381</v>
      </c>
    </row>
    <row r="31" ht="38.0" customHeight="true">
      <c r="A31" t="s" s="6">
        <v>896</v>
      </c>
      <c r="B31" t="s" s="6">
        <v>1382</v>
      </c>
      <c r="C31" t="s" s="6">
        <v>1383</v>
      </c>
      <c r="D31" t="s" s="6">
        <v>1384</v>
      </c>
      <c r="E31" t="s" s="6">
        <v>1385</v>
      </c>
    </row>
    <row r="32" ht="38.0" customHeight="true">
      <c r="A32" t="s" s="5">
        <v>937</v>
      </c>
      <c r="B32" t="s" s="5">
        <v>1386</v>
      </c>
      <c r="C32" t="s" s="5">
        <v>1387</v>
      </c>
      <c r="D32" t="s" s="5">
        <v>1388</v>
      </c>
      <c r="E32" t="s" s="5">
        <v>1389</v>
      </c>
    </row>
    <row r="33" ht="38.0" customHeight="true">
      <c r="A33" t="s" s="6">
        <v>937</v>
      </c>
      <c r="B33" t="s" s="6">
        <v>1390</v>
      </c>
      <c r="C33" t="s" s="6">
        <v>1391</v>
      </c>
      <c r="D33" t="s" s="6">
        <v>1392</v>
      </c>
      <c r="E33" t="s" s="6">
        <v>1393</v>
      </c>
    </row>
    <row r="34" ht="38.0" customHeight="true">
      <c r="A34" t="s" s="5">
        <v>136</v>
      </c>
      <c r="B34" t="s" s="5">
        <v>1394</v>
      </c>
      <c r="C34" t="s" s="5">
        <v>1395</v>
      </c>
      <c r="D34" t="s" s="5">
        <v>1396</v>
      </c>
      <c r="E34" t="s" s="5">
        <v>1397</v>
      </c>
    </row>
    <row r="36" ht="27.0" customHeight="true">
      <c r="A36" s="3" t="s">
        <v>1398</v>
      </c>
      <c r="B36" s="3"/>
      <c r="C36" s="3"/>
      <c r="D36" s="3"/>
      <c r="E36" s="3"/>
      <c r="F36" s="3"/>
      <c r="G36" s="3"/>
      <c r="H36" s="3"/>
    </row>
    <row r="37" ht="38.0" customHeight="true">
      <c r="A37" t="s" s="7">
        <v>1399</v>
      </c>
      <c r="B37" s="9" t="s">
        <v>1400</v>
      </c>
      <c r="C37" s="9"/>
      <c r="D37" s="9"/>
      <c r="E37" s="9"/>
      <c r="F37" s="9"/>
      <c r="G37" s="9"/>
      <c r="H37" s="9"/>
    </row>
    <row r="38" ht="38.0" customHeight="true">
      <c r="A38" t="s" s="7">
        <v>1401</v>
      </c>
      <c r="B38" s="9" t="s">
        <v>1402</v>
      </c>
      <c r="C38" s="9"/>
      <c r="D38" s="9"/>
      <c r="E38" s="9"/>
      <c r="F38" s="9"/>
      <c r="G38" s="9"/>
      <c r="H38" s="9"/>
    </row>
    <row r="39" ht="38.0" customHeight="true">
      <c r="A39" t="s" s="7">
        <v>1403</v>
      </c>
      <c r="B39" s="9" t="s">
        <v>1404</v>
      </c>
      <c r="C39" s="9"/>
      <c r="D39" s="9"/>
      <c r="E39" s="9"/>
      <c r="F39" s="9"/>
      <c r="G39" s="9"/>
      <c r="H39" s="9"/>
    </row>
    <row r="40" ht="38.0" customHeight="true">
      <c r="A40" t="s" s="7">
        <v>1405</v>
      </c>
      <c r="B40" s="9" t="s">
        <v>1406</v>
      </c>
      <c r="C40" s="9"/>
      <c r="D40" s="9"/>
      <c r="E40" s="9"/>
      <c r="F40" s="9"/>
      <c r="G40" s="9"/>
      <c r="H40" s="9"/>
    </row>
    <row r="41" ht="38.0" customHeight="true">
      <c r="A41" t="s" s="7">
        <v>1407</v>
      </c>
      <c r="B41" s="9" t="s">
        <v>1408</v>
      </c>
      <c r="C41" s="9"/>
      <c r="D41" s="9"/>
      <c r="E41" s="9"/>
      <c r="F41" s="9"/>
      <c r="G41" s="9"/>
      <c r="H41" s="9"/>
    </row>
  </sheetData>
  <mergeCells count="11">
    <mergeCell ref="A1:H1"/>
    <mergeCell ref="A2:H2"/>
    <mergeCell ref="A7:H7"/>
    <mergeCell ref="A16:H16"/>
    <mergeCell ref="A26:H26"/>
    <mergeCell ref="A36:H36"/>
    <mergeCell ref="B37:H37"/>
    <mergeCell ref="B38:H38"/>
    <mergeCell ref="B39:H39"/>
    <mergeCell ref="B40:H40"/>
    <mergeCell ref="B41:H41"/>
  </mergeCells>
  <pageMargins bottom="0.5" footer="0.3" header="0.3" left="0.3" right="0.3" top="0.5"/>
  <pageSetup orientation="portrait" fitToWidth="1" fitToHeight="0"/>
  <headerFooter>
    <oddHeader>&amp;C&amp;B智能商城软件测试文档</oddHeader>
    <oddFooter>&amp;L生成日期：2026-07-12&amp;R第 &amp;P 页 / 共 &amp;N 页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2026-07-12T07:59:26Z</dcterms:created>
  <dc:creator>Codex / 项目组</dc:creator>
  <dc:description>测试计划、测试用例、环境账号、缺陷、测试数据和测试报告</dc:description>
  <dc:title>Agent-Store 智能商城软件测试交付包</dc:title>
</cp:coreProperties>
</file>